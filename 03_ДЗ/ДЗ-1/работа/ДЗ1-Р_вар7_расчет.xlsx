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Задание 1" sheetId="1" state="visible" r:id="rId3"/>
    <sheet name="Задание 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<sst xmlns="http://schemas.openxmlformats.org/spreadsheetml/2006/main" count="85" uniqueCount="61">
  <si>
    <t xml:space="preserve">Задание 1. Пересчет характеристики центробежного насоса при изменении частоты вращения вала</t>
  </si>
  <si>
    <t xml:space="preserve">Исходные данные</t>
  </si>
  <si>
    <t xml:space="preserve">Насос</t>
  </si>
  <si>
    <t xml:space="preserve">225(226)ЭЦНАКИ5-45(Тв), 100 ступеней</t>
  </si>
  <si>
    <t xml:space="preserve">Номер варианта N</t>
  </si>
  <si>
    <r>
      <rPr>
        <sz val="11"/>
        <rFont val="Calibri"/>
        <family val="0"/>
        <charset val="1"/>
      </rPr>
      <t xml:space="preserve">Частота вращения по характеристике n</t>
    </r>
    <r>
      <rPr>
        <vertAlign val="subscript"/>
        <sz val="11"/>
        <rFont val="Calibri"/>
        <family val="0"/>
        <charset val="1"/>
      </rPr>
      <t xml:space="preserve">с</t>
    </r>
    <r>
      <rPr>
        <sz val="11"/>
        <rFont val="Calibri"/>
        <family val="0"/>
        <charset val="1"/>
      </rPr>
      <t xml:space="preserve">, об/мин</t>
    </r>
  </si>
  <si>
    <r>
      <rPr>
        <sz val="11"/>
        <rFont val="Calibri"/>
        <family val="0"/>
        <charset val="1"/>
      </rPr>
      <t xml:space="preserve">Новая частота вращения n</t>
    </r>
    <r>
      <rPr>
        <vertAlign val="subscript"/>
        <sz val="11"/>
        <rFont val="Calibri"/>
        <family val="0"/>
        <charset val="1"/>
      </rPr>
      <t xml:space="preserve">н</t>
    </r>
    <r>
      <rPr>
        <sz val="11"/>
        <rFont val="Calibri"/>
        <family val="0"/>
        <charset val="1"/>
      </rPr>
      <t xml:space="preserve"> = n</t>
    </r>
    <r>
      <rPr>
        <vertAlign val="subscript"/>
        <sz val="11"/>
        <rFont val="Calibri"/>
        <family val="0"/>
        <charset val="1"/>
      </rPr>
      <t xml:space="preserve">с</t>
    </r>
    <r>
      <rPr>
        <sz val="11"/>
        <rFont val="Calibri"/>
        <family val="0"/>
        <charset val="1"/>
      </rPr>
      <t xml:space="preserve"> – 22·2·N, об/мин</t>
    </r>
  </si>
  <si>
    <t xml:space="preserve">Плотность жидкости ρ, кг/м³</t>
  </si>
  <si>
    <t xml:space="preserve">Ускорение свободного падения g, м/с²</t>
  </si>
  <si>
    <t xml:space="preserve">Таблица 1 – Сравнительная характеристика центробежного насоса при различных значениях оборотов вала</t>
  </si>
  <si>
    <t xml:space="preserve">Точка</t>
  </si>
  <si>
    <r>
      <rPr>
        <b val="true"/>
        <sz val="11"/>
        <rFont val="Calibri"/>
        <family val="0"/>
        <charset val="1"/>
      </rPr>
      <t xml:space="preserve">«Старая» характеристика при n</t>
    </r>
    <r>
      <rPr>
        <b val="true"/>
        <vertAlign val="subscript"/>
        <sz val="11"/>
        <rFont val="Calibri"/>
        <family val="0"/>
        <charset val="1"/>
      </rPr>
      <t xml:space="preserve">с</t>
    </r>
    <r>
      <rPr>
        <b val="true"/>
        <sz val="11"/>
        <rFont val="Calibri"/>
        <family val="0"/>
        <charset val="1"/>
      </rPr>
      <t xml:space="preserve"> = 2910 об/мин</t>
    </r>
  </si>
  <si>
    <r>
      <rPr>
        <sz val="11"/>
        <rFont val="Calibri"/>
        <family val="0"/>
        <charset val="1"/>
      </rPr>
      <t xml:space="preserve">Подача Q</t>
    </r>
    <r>
      <rPr>
        <vertAlign val="subscript"/>
        <sz val="11"/>
        <rFont val="Calibri"/>
        <family val="0"/>
        <charset val="1"/>
      </rPr>
      <t xml:space="preserve">с</t>
    </r>
  </si>
  <si>
    <t xml:space="preserve">м³/сут</t>
  </si>
  <si>
    <r>
      <rPr>
        <sz val="11"/>
        <rFont val="Calibri"/>
        <family val="0"/>
        <charset val="1"/>
      </rPr>
      <t xml:space="preserve">м³/с·10</t>
    </r>
    <r>
      <rPr>
        <vertAlign val="superscript"/>
        <sz val="11"/>
        <rFont val="Calibri"/>
        <family val="0"/>
        <charset val="1"/>
      </rPr>
      <t xml:space="preserve">-3</t>
    </r>
  </si>
  <si>
    <r>
      <rPr>
        <sz val="11"/>
        <rFont val="Calibri"/>
        <family val="0"/>
        <charset val="1"/>
      </rPr>
      <t xml:space="preserve">Напор H</t>
    </r>
    <r>
      <rPr>
        <vertAlign val="subscript"/>
        <sz val="11"/>
        <rFont val="Calibri"/>
        <family val="0"/>
        <charset val="1"/>
      </rPr>
      <t xml:space="preserve">с</t>
    </r>
  </si>
  <si>
    <t xml:space="preserve">м</t>
  </si>
  <si>
    <r>
      <rPr>
        <sz val="11"/>
        <rFont val="Calibri"/>
        <family val="0"/>
        <charset val="1"/>
      </rPr>
      <t xml:space="preserve">Мощность N</t>
    </r>
    <r>
      <rPr>
        <vertAlign val="subscript"/>
        <sz val="11"/>
        <rFont val="Calibri"/>
        <family val="0"/>
        <charset val="1"/>
      </rPr>
      <t xml:space="preserve">с</t>
    </r>
  </si>
  <si>
    <t xml:space="preserve">Вт</t>
  </si>
  <si>
    <r>
      <rPr>
        <sz val="11"/>
        <rFont val="Calibri"/>
        <family val="0"/>
        <charset val="1"/>
      </rPr>
      <t xml:space="preserve">КПД η</t>
    </r>
    <r>
      <rPr>
        <vertAlign val="subscript"/>
        <sz val="11"/>
        <rFont val="Calibri"/>
        <family val="0"/>
        <charset val="1"/>
      </rPr>
      <t xml:space="preserve">с</t>
    </r>
  </si>
  <si>
    <t xml:space="preserve">%</t>
  </si>
  <si>
    <r>
      <rPr>
        <b val="true"/>
        <sz val="11"/>
        <rFont val="Calibri"/>
        <family val="0"/>
        <charset val="1"/>
      </rPr>
      <t xml:space="preserve">«Новая» характеристика при n</t>
    </r>
    <r>
      <rPr>
        <b val="true"/>
        <vertAlign val="subscript"/>
        <sz val="11"/>
        <rFont val="Calibri"/>
        <family val="0"/>
        <charset val="1"/>
      </rPr>
      <t xml:space="preserve">н</t>
    </r>
    <r>
      <rPr>
        <b val="true"/>
        <sz val="11"/>
        <rFont val="Calibri"/>
        <family val="0"/>
        <charset val="1"/>
      </rPr>
      <t xml:space="preserve"> = 2602 об/мин</t>
    </r>
  </si>
  <si>
    <r>
      <rPr>
        <sz val="11"/>
        <rFont val="Calibri"/>
        <family val="0"/>
        <charset val="1"/>
      </rPr>
      <t xml:space="preserve">Подача Q</t>
    </r>
    <r>
      <rPr>
        <vertAlign val="subscript"/>
        <sz val="11"/>
        <rFont val="Calibri"/>
        <family val="0"/>
        <charset val="1"/>
      </rPr>
      <t xml:space="preserve">н</t>
    </r>
  </si>
  <si>
    <r>
      <rPr>
        <sz val="11"/>
        <rFont val="Calibri"/>
        <family val="0"/>
        <charset val="1"/>
      </rPr>
      <t xml:space="preserve">Напор H</t>
    </r>
    <r>
      <rPr>
        <vertAlign val="subscript"/>
        <sz val="11"/>
        <rFont val="Calibri"/>
        <family val="0"/>
        <charset val="1"/>
      </rPr>
      <t xml:space="preserve">н</t>
    </r>
  </si>
  <si>
    <r>
      <rPr>
        <sz val="11"/>
        <rFont val="Calibri"/>
        <family val="0"/>
        <charset val="1"/>
      </rPr>
      <t xml:space="preserve">Мощность N</t>
    </r>
    <r>
      <rPr>
        <vertAlign val="subscript"/>
        <sz val="11"/>
        <rFont val="Calibri"/>
        <family val="0"/>
        <charset val="1"/>
      </rPr>
      <t xml:space="preserve">н</t>
    </r>
  </si>
  <si>
    <r>
      <rPr>
        <sz val="11"/>
        <rFont val="Calibri"/>
        <family val="0"/>
        <charset val="1"/>
      </rPr>
      <t xml:space="preserve">Полезная мощность N</t>
    </r>
    <r>
      <rPr>
        <vertAlign val="subscript"/>
        <sz val="11"/>
        <rFont val="Calibri"/>
        <family val="0"/>
        <charset val="1"/>
      </rPr>
      <t xml:space="preserve">п</t>
    </r>
  </si>
  <si>
    <r>
      <rPr>
        <sz val="11"/>
        <rFont val="Calibri"/>
        <family val="0"/>
        <charset val="1"/>
      </rPr>
      <t xml:space="preserve">КПД η</t>
    </r>
    <r>
      <rPr>
        <vertAlign val="subscript"/>
        <sz val="11"/>
        <rFont val="Calibri"/>
        <family val="0"/>
        <charset val="1"/>
      </rPr>
      <t xml:space="preserve">н</t>
    </r>
  </si>
  <si>
    <t xml:space="preserve">Для графика: мощность, кВт</t>
  </si>
  <si>
    <t xml:space="preserve">nс</t>
  </si>
  <si>
    <t xml:space="preserve">nн</t>
  </si>
  <si>
    <t xml:space="preserve">Задание 2. Пересчет характеристики центробежного насоса при изменении свойств перекачиваемой жидкости</t>
  </si>
  <si>
    <t xml:space="preserve">Частота вращения n, об/мин</t>
  </si>
  <si>
    <r>
      <rPr>
        <sz val="11"/>
        <rFont val="Calibri"/>
        <family val="0"/>
        <charset val="1"/>
      </rPr>
      <t xml:space="preserve">Кинематическая вязкость ν = (10 + 1,5·N)·10</t>
    </r>
    <r>
      <rPr>
        <vertAlign val="superscript"/>
        <sz val="11"/>
        <rFont val="Calibri"/>
        <family val="0"/>
        <charset val="1"/>
      </rPr>
      <t xml:space="preserve">-6</t>
    </r>
    <r>
      <rPr>
        <sz val="11"/>
        <rFont val="Calibri"/>
        <family val="0"/>
        <charset val="1"/>
      </rPr>
      <t xml:space="preserve">, м²/с</t>
    </r>
  </si>
  <si>
    <t xml:space="preserve">Плотность жидкости ρ = 1000 – 15·1,5·N, кг/м³</t>
  </si>
  <si>
    <r>
      <rPr>
        <sz val="11"/>
        <rFont val="Calibri"/>
        <family val="0"/>
        <charset val="1"/>
      </rPr>
      <t xml:space="preserve">Оптимальная подача на воде Q</t>
    </r>
    <r>
      <rPr>
        <vertAlign val="subscript"/>
        <sz val="11"/>
        <rFont val="Calibri"/>
        <family val="0"/>
        <charset val="1"/>
      </rPr>
      <t xml:space="preserve">0</t>
    </r>
    <r>
      <rPr>
        <sz val="11"/>
        <rFont val="Calibri"/>
        <family val="0"/>
        <charset val="1"/>
      </rPr>
      <t xml:space="preserve">, м³/сут</t>
    </r>
  </si>
  <si>
    <r>
      <rPr>
        <sz val="11"/>
        <rFont val="Calibri"/>
        <family val="0"/>
        <charset val="1"/>
      </rPr>
      <t xml:space="preserve">Оптимальная подача на воде Q</t>
    </r>
    <r>
      <rPr>
        <vertAlign val="subscript"/>
        <sz val="11"/>
        <rFont val="Calibri"/>
        <family val="0"/>
        <charset val="1"/>
      </rPr>
      <t xml:space="preserve">0</t>
    </r>
    <r>
      <rPr>
        <sz val="11"/>
        <rFont val="Calibri"/>
        <family val="0"/>
        <charset val="1"/>
      </rPr>
      <t xml:space="preserve">, м³/с</t>
    </r>
  </si>
  <si>
    <t xml:space="preserve">Таблица 2 – Сравнительная характеристика центробежного насоса при различных значениях вязкости</t>
  </si>
  <si>
    <t xml:space="preserve">Режим</t>
  </si>
  <si>
    <r>
      <rPr>
        <b val="true"/>
        <sz val="11"/>
        <rFont val="Calibri"/>
        <family val="0"/>
        <charset val="1"/>
      </rPr>
      <t xml:space="preserve">0,6Q</t>
    </r>
    <r>
      <rPr>
        <b val="true"/>
        <vertAlign val="subscript"/>
        <sz val="11"/>
        <rFont val="Calibri"/>
        <family val="0"/>
        <charset val="1"/>
      </rPr>
      <t xml:space="preserve">0</t>
    </r>
  </si>
  <si>
    <r>
      <rPr>
        <b val="true"/>
        <sz val="11"/>
        <rFont val="Calibri"/>
        <family val="0"/>
        <charset val="1"/>
      </rPr>
      <t xml:space="preserve">0,8Q</t>
    </r>
    <r>
      <rPr>
        <b val="true"/>
        <vertAlign val="subscript"/>
        <sz val="11"/>
        <rFont val="Calibri"/>
        <family val="0"/>
        <charset val="1"/>
      </rPr>
      <t xml:space="preserve">0</t>
    </r>
  </si>
  <si>
    <r>
      <rPr>
        <b val="true"/>
        <sz val="11"/>
        <rFont val="Calibri"/>
        <family val="0"/>
        <charset val="1"/>
      </rPr>
      <t xml:space="preserve">Q</t>
    </r>
    <r>
      <rPr>
        <b val="true"/>
        <vertAlign val="subscript"/>
        <sz val="11"/>
        <rFont val="Calibri"/>
        <family val="0"/>
        <charset val="1"/>
      </rPr>
      <t xml:space="preserve">0</t>
    </r>
  </si>
  <si>
    <r>
      <rPr>
        <b val="true"/>
        <sz val="11"/>
        <rFont val="Calibri"/>
        <family val="0"/>
        <charset val="1"/>
      </rPr>
      <t xml:space="preserve">1,2Q</t>
    </r>
    <r>
      <rPr>
        <b val="true"/>
        <vertAlign val="subscript"/>
        <sz val="11"/>
        <rFont val="Calibri"/>
        <family val="0"/>
        <charset val="1"/>
      </rPr>
      <t xml:space="preserve">0</t>
    </r>
  </si>
  <si>
    <r>
      <rPr>
        <b val="true"/>
        <sz val="11"/>
        <rFont val="Calibri"/>
        <family val="0"/>
        <charset val="1"/>
      </rPr>
      <t xml:space="preserve">1,4Q</t>
    </r>
    <r>
      <rPr>
        <b val="true"/>
        <vertAlign val="subscript"/>
        <sz val="11"/>
        <rFont val="Calibri"/>
        <family val="0"/>
        <charset val="1"/>
      </rPr>
      <t xml:space="preserve">0</t>
    </r>
  </si>
  <si>
    <r>
      <rPr>
        <b val="true"/>
        <sz val="11"/>
        <rFont val="Calibri"/>
        <family val="0"/>
        <charset val="1"/>
      </rPr>
      <t xml:space="preserve">Характеристика на воде при ν = 1·10</t>
    </r>
    <r>
      <rPr>
        <b val="true"/>
        <vertAlign val="superscript"/>
        <sz val="11"/>
        <rFont val="Calibri"/>
        <family val="0"/>
        <charset val="1"/>
      </rPr>
      <t xml:space="preserve">-6</t>
    </r>
    <r>
      <rPr>
        <b val="true"/>
        <sz val="11"/>
        <rFont val="Calibri"/>
        <family val="0"/>
        <charset val="1"/>
      </rPr>
      <t xml:space="preserve"> м²/с</t>
    </r>
  </si>
  <si>
    <r>
      <rPr>
        <sz val="11"/>
        <rFont val="Calibri"/>
        <family val="0"/>
        <charset val="1"/>
      </rPr>
      <t xml:space="preserve">Подача Q</t>
    </r>
    <r>
      <rPr>
        <vertAlign val="subscript"/>
        <sz val="11"/>
        <rFont val="Calibri"/>
        <family val="0"/>
        <charset val="1"/>
      </rPr>
      <t xml:space="preserve">в</t>
    </r>
  </si>
  <si>
    <r>
      <rPr>
        <sz val="11"/>
        <rFont val="Calibri"/>
        <family val="0"/>
        <charset val="1"/>
      </rPr>
      <t xml:space="preserve">Напор H</t>
    </r>
    <r>
      <rPr>
        <vertAlign val="subscript"/>
        <sz val="11"/>
        <rFont val="Calibri"/>
        <family val="0"/>
        <charset val="1"/>
      </rPr>
      <t xml:space="preserve">в</t>
    </r>
  </si>
  <si>
    <r>
      <rPr>
        <sz val="11"/>
        <rFont val="Calibri"/>
        <family val="0"/>
        <charset val="1"/>
      </rPr>
      <t xml:space="preserve">Мощность N</t>
    </r>
    <r>
      <rPr>
        <vertAlign val="subscript"/>
        <sz val="11"/>
        <rFont val="Calibri"/>
        <family val="0"/>
        <charset val="1"/>
      </rPr>
      <t xml:space="preserve">в</t>
    </r>
  </si>
  <si>
    <t xml:space="preserve">кВт</t>
  </si>
  <si>
    <r>
      <rPr>
        <sz val="11"/>
        <rFont val="Calibri"/>
        <family val="0"/>
        <charset val="1"/>
      </rPr>
      <t xml:space="preserve">КПД η</t>
    </r>
    <r>
      <rPr>
        <vertAlign val="subscript"/>
        <sz val="11"/>
        <rFont val="Calibri"/>
        <family val="0"/>
        <charset val="1"/>
      </rPr>
      <t xml:space="preserve">в</t>
    </r>
  </si>
  <si>
    <t xml:space="preserve">Пересчетные коэффициенты</t>
  </si>
  <si>
    <t xml:space="preserve">Число Рейнольдса Re</t>
  </si>
  <si>
    <t xml:space="preserve">–</t>
  </si>
  <si>
    <r>
      <rPr>
        <sz val="11"/>
        <rFont val="Calibri"/>
        <family val="0"/>
        <charset val="1"/>
      </rPr>
      <t xml:space="preserve">Коэффициент K</t>
    </r>
    <r>
      <rPr>
        <vertAlign val="subscript"/>
        <sz val="11"/>
        <rFont val="Calibri"/>
        <family val="0"/>
        <charset val="1"/>
      </rPr>
      <t xml:space="preserve">Q</t>
    </r>
  </si>
  <si>
    <r>
      <rPr>
        <sz val="11"/>
        <rFont val="Calibri"/>
        <family val="0"/>
        <charset val="1"/>
      </rPr>
      <t xml:space="preserve">Коэффициент K</t>
    </r>
    <r>
      <rPr>
        <vertAlign val="subscript"/>
        <sz val="11"/>
        <rFont val="Calibri"/>
        <family val="0"/>
        <charset val="1"/>
      </rPr>
      <t xml:space="preserve">H</t>
    </r>
  </si>
  <si>
    <r>
      <rPr>
        <sz val="11"/>
        <rFont val="Calibri"/>
        <family val="0"/>
        <charset val="1"/>
      </rPr>
      <t xml:space="preserve">Коэффициент K</t>
    </r>
    <r>
      <rPr>
        <vertAlign val="subscript"/>
        <sz val="11"/>
        <rFont val="Calibri"/>
        <family val="0"/>
        <charset val="1"/>
      </rPr>
      <t xml:space="preserve">η</t>
    </r>
  </si>
  <si>
    <r>
      <rPr>
        <b val="true"/>
        <sz val="11"/>
        <rFont val="Calibri"/>
        <family val="0"/>
        <charset val="1"/>
      </rPr>
      <t xml:space="preserve">Характеристика на вязкой жидкости при ν = 20,5·10</t>
    </r>
    <r>
      <rPr>
        <b val="true"/>
        <vertAlign val="superscript"/>
        <sz val="11"/>
        <rFont val="Calibri"/>
        <family val="0"/>
        <charset val="1"/>
      </rPr>
      <t xml:space="preserve">-6</t>
    </r>
    <r>
      <rPr>
        <b val="true"/>
        <sz val="11"/>
        <rFont val="Calibri"/>
        <family val="0"/>
        <charset val="1"/>
      </rPr>
      <t xml:space="preserve"> м²/с, ρ = 842,5 кг/м³</t>
    </r>
  </si>
  <si>
    <r>
      <rPr>
        <sz val="11"/>
        <rFont val="Calibri"/>
        <family val="0"/>
        <charset val="1"/>
      </rPr>
      <t xml:space="preserve">Подача Q</t>
    </r>
    <r>
      <rPr>
        <vertAlign val="subscript"/>
        <sz val="11"/>
        <rFont val="Calibri"/>
        <family val="0"/>
        <charset val="1"/>
      </rPr>
      <t xml:space="preserve">ν</t>
    </r>
  </si>
  <si>
    <r>
      <rPr>
        <sz val="11"/>
        <rFont val="Calibri"/>
        <family val="0"/>
        <charset val="1"/>
      </rPr>
      <t xml:space="preserve">Напор H</t>
    </r>
    <r>
      <rPr>
        <vertAlign val="subscript"/>
        <sz val="11"/>
        <rFont val="Calibri"/>
        <family val="0"/>
        <charset val="1"/>
      </rPr>
      <t xml:space="preserve">ν</t>
    </r>
  </si>
  <si>
    <r>
      <rPr>
        <sz val="11"/>
        <rFont val="Calibri"/>
        <family val="0"/>
        <charset val="1"/>
      </rPr>
      <t xml:space="preserve">Полезная мощность N</t>
    </r>
    <r>
      <rPr>
        <vertAlign val="subscript"/>
        <sz val="11"/>
        <rFont val="Calibri"/>
        <family val="0"/>
        <charset val="1"/>
      </rPr>
      <t xml:space="preserve">пν</t>
    </r>
  </si>
  <si>
    <r>
      <rPr>
        <sz val="11"/>
        <rFont val="Calibri"/>
        <family val="0"/>
        <charset val="1"/>
      </rPr>
      <t xml:space="preserve">Мощность N</t>
    </r>
    <r>
      <rPr>
        <vertAlign val="subscript"/>
        <sz val="11"/>
        <rFont val="Calibri"/>
        <family val="0"/>
        <charset val="1"/>
      </rPr>
      <t xml:space="preserve">ν</t>
    </r>
  </si>
  <si>
    <r>
      <rPr>
        <sz val="11"/>
        <rFont val="Calibri"/>
        <family val="0"/>
        <charset val="1"/>
      </rPr>
      <t xml:space="preserve">КПД η</t>
    </r>
    <r>
      <rPr>
        <vertAlign val="subscript"/>
        <sz val="11"/>
        <rFont val="Calibri"/>
        <family val="0"/>
        <charset val="1"/>
      </rPr>
      <t xml:space="preserve">ν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</si>
</sst>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"/>
    <numFmt numFmtId="167" formatCode="0.000"/>
    <numFmt numFmtId="168" formatCode="0.0"/>
    <numFmt numFmtId="169" formatCode="0.00E+00"/>
    <numFmt numFmtId="170" formatCode="0.00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vertAlign val="subscript"/>
      <sz val="11"/>
      <name val="Calibri"/>
      <family val="0"/>
      <charset val="1"/>
    </font>
    <font>
      <b val="true"/>
      <vertAlign val="subscript"/>
      <sz val="11"/>
      <name val="Calibri"/>
      <family val="0"/>
      <charset val="1"/>
    </font>
    <font>
      <vertAlign val="superscript"/>
      <sz val="11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sz val="9"/>
      <color rgb="FF808080"/>
      <name val="Calibri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vertAlign val="superscript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"H, n = 2910 об/мин"</c:f>
              <c:strCache>
                <c:ptCount val="1"/>
                <c:pt idx="0">
                  <c:v>H, n = 2910 об/мин</c:v>
                </c:pt>
              </c:strCache>
            </c:strRef>
          </c:tx>
          <c:spPr>
            <a:solidFill>
              <a:srgbClr val="1f4e79"/>
            </a:solidFill>
            <a:ln w="19080">
              <a:solidFill>
                <a:srgbClr val="1f4e79"/>
              </a:solidFill>
              <a:round/>
            </a:ln>
          </c:spPr>
          <c:marker>
            <c:symbol val="circle"/>
            <c:size val="4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1'!$C$14:$L$14</c:f>
              <c:numCache>
                <c:formatCode>0</c:formatCode>
                <c:ptCount val="1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46</c:v>
                </c:pt>
                <c:pt idx="6">
                  <c:v>55</c:v>
                </c:pt>
                <c:pt idx="7">
                  <c:v>65</c:v>
                </c:pt>
                <c:pt idx="8">
                  <c:v>75</c:v>
                </c:pt>
                <c:pt idx="9">
                  <c:v>84</c:v>
                </c:pt>
              </c:numCache>
            </c:numRef>
          </c:xVal>
          <c:yVal>
            <c:numRef>
              <c:f>'Задание 1'!$C$16:$L$16</c:f>
              <c:numCache>
                <c:formatCode>0</c:formatCode>
                <c:ptCount val="10"/>
                <c:pt idx="0">
                  <c:v>530</c:v>
                </c:pt>
                <c:pt idx="1">
                  <c:v>530</c:v>
                </c:pt>
                <c:pt idx="2">
                  <c:v>525</c:v>
                </c:pt>
                <c:pt idx="3">
                  <c:v>505</c:v>
                </c:pt>
                <c:pt idx="4">
                  <c:v>465</c:v>
                </c:pt>
                <c:pt idx="5">
                  <c:v>435</c:v>
                </c:pt>
                <c:pt idx="6">
                  <c:v>380</c:v>
                </c:pt>
                <c:pt idx="7">
                  <c:v>305</c:v>
                </c:pt>
                <c:pt idx="8">
                  <c:v>180</c:v>
                </c:pt>
                <c:pt idx="9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"H, n = 2602 об/мин"</c:f>
              <c:strCache>
                <c:ptCount val="1"/>
                <c:pt idx="0">
                  <c:v>H, n = 2602 об/мин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circle"/>
            <c:size val="4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1'!$C$20:$L$20</c:f>
              <c:numCache>
                <c:formatCode>0.0</c:formatCode>
                <c:ptCount val="10"/>
                <c:pt idx="0">
                  <c:v>0</c:v>
                </c:pt>
                <c:pt idx="1">
                  <c:v>8.94158075601375</c:v>
                </c:pt>
                <c:pt idx="2">
                  <c:v>17.8831615120275</c:v>
                </c:pt>
                <c:pt idx="3">
                  <c:v>26.8247422680412</c:v>
                </c:pt>
                <c:pt idx="4">
                  <c:v>35.766323024055</c:v>
                </c:pt>
                <c:pt idx="5">
                  <c:v>41.1312714776632</c:v>
                </c:pt>
                <c:pt idx="6">
                  <c:v>49.1786941580756</c:v>
                </c:pt>
                <c:pt idx="7">
                  <c:v>58.1202749140894</c:v>
                </c:pt>
                <c:pt idx="8">
                  <c:v>67.0618556701031</c:v>
                </c:pt>
                <c:pt idx="9">
                  <c:v>75.1092783505155</c:v>
                </c:pt>
              </c:numCache>
            </c:numRef>
          </c:xVal>
          <c:yVal>
            <c:numRef>
              <c:f>'Задание 1'!$C$22:$L$22</c:f>
              <c:numCache>
                <c:formatCode>0</c:formatCode>
                <c:ptCount val="10"/>
                <c:pt idx="0">
                  <c:v>423.744892006471</c:v>
                </c:pt>
                <c:pt idx="1">
                  <c:v>423.744892006471</c:v>
                </c:pt>
                <c:pt idx="2">
                  <c:v>419.747298685656</c:v>
                </c:pt>
                <c:pt idx="3">
                  <c:v>403.756925402393</c:v>
                </c:pt>
                <c:pt idx="4">
                  <c:v>371.776178835866</c:v>
                </c:pt>
                <c:pt idx="5">
                  <c:v>347.790618910972</c:v>
                </c:pt>
                <c:pt idx="6">
                  <c:v>303.817092381998</c:v>
                </c:pt>
                <c:pt idx="7">
                  <c:v>243.853192569762</c:v>
                </c:pt>
                <c:pt idx="8">
                  <c:v>143.913359549368</c:v>
                </c:pt>
                <c:pt idx="9">
                  <c:v>0</c:v>
                </c:pt>
              </c:numCache>
            </c:numRef>
          </c:yVal>
          <c:smooth val="1"/>
        </c:ser>
        <c:axId val="67709329"/>
        <c:axId val="47306069"/>
      </c:scatterChart>
      <c:scatterChart>
        <c:scatterStyle val="lineMarker"/>
        <c:varyColors val="0"/>
        <c:ser>
          <c:idx val="2"/>
          <c:order val="2"/>
          <c:tx>
            <c:strRef>
              <c:f>"N, n = 2910 об/мин"</c:f>
              <c:strCache>
                <c:ptCount val="1"/>
                <c:pt idx="0">
                  <c:v>N, n = 2910 об/мин</c:v>
                </c:pt>
              </c:strCache>
            </c:strRef>
          </c:tx>
          <c:spPr>
            <a:solidFill>
              <a:srgbClr val="1f4e79"/>
            </a:solidFill>
            <a:ln w="19080">
              <a:solidFill>
                <a:srgbClr val="1f4e79"/>
              </a:solidFill>
              <a:prstDash val="dash"/>
              <a:round/>
            </a:ln>
          </c:spPr>
          <c:marker>
            <c:symbol val="circle"/>
            <c:size val="4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1'!$C$14:$L$14</c:f>
              <c:numCache>
                <c:formatCode>0</c:formatCode>
                <c:ptCount val="1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46</c:v>
                </c:pt>
                <c:pt idx="6">
                  <c:v>55</c:v>
                </c:pt>
                <c:pt idx="7">
                  <c:v>65</c:v>
                </c:pt>
                <c:pt idx="8">
                  <c:v>75</c:v>
                </c:pt>
                <c:pt idx="9">
                  <c:v>84</c:v>
                </c:pt>
              </c:numCache>
            </c:numRef>
          </c:xVal>
          <c:yVal>
            <c:numRef>
              <c:f>'Задание 1'!$C$29:$L$29</c:f>
              <c:numCache>
                <c:formatCode>0.00</c:formatCode>
                <c:ptCount val="10"/>
                <c:pt idx="0">
                  <c:v>4.45</c:v>
                </c:pt>
                <c:pt idx="1">
                  <c:v>4.85</c:v>
                </c:pt>
                <c:pt idx="2">
                  <c:v>5.15</c:v>
                </c:pt>
                <c:pt idx="3">
                  <c:v>5.45</c:v>
                </c:pt>
                <c:pt idx="4">
                  <c:v>5.85</c:v>
                </c:pt>
                <c:pt idx="5">
                  <c:v>6.15</c:v>
                </c:pt>
                <c:pt idx="6">
                  <c:v>6.8</c:v>
                </c:pt>
                <c:pt idx="7">
                  <c:v>7.75</c:v>
                </c:pt>
                <c:pt idx="8">
                  <c:v>8.9</c:v>
                </c:pt>
                <c:pt idx="9">
                  <c:v>10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"N, n = 2602 об/мин"</c:f>
              <c:strCache>
                <c:ptCount val="1"/>
                <c:pt idx="0">
                  <c:v>N, n = 2602 об/мин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prstDash val="dash"/>
              <a:round/>
            </a:ln>
          </c:spPr>
          <c:marker>
            <c:symbol val="circle"/>
            <c:size val="4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1'!$C$20:$L$20</c:f>
              <c:numCache>
                <c:formatCode>0.0</c:formatCode>
                <c:ptCount val="10"/>
                <c:pt idx="0">
                  <c:v>0</c:v>
                </c:pt>
                <c:pt idx="1">
                  <c:v>8.94158075601375</c:v>
                </c:pt>
                <c:pt idx="2">
                  <c:v>17.8831615120275</c:v>
                </c:pt>
                <c:pt idx="3">
                  <c:v>26.8247422680412</c:v>
                </c:pt>
                <c:pt idx="4">
                  <c:v>35.766323024055</c:v>
                </c:pt>
                <c:pt idx="5">
                  <c:v>41.1312714776632</c:v>
                </c:pt>
                <c:pt idx="6">
                  <c:v>49.1786941580756</c:v>
                </c:pt>
                <c:pt idx="7">
                  <c:v>58.1202749140894</c:v>
                </c:pt>
                <c:pt idx="8">
                  <c:v>67.0618556701031</c:v>
                </c:pt>
                <c:pt idx="9">
                  <c:v>75.1092783505155</c:v>
                </c:pt>
              </c:numCache>
            </c:numRef>
          </c:xVal>
          <c:yVal>
            <c:numRef>
              <c:f>'Задание 1'!$C$30:$L$30</c:f>
              <c:numCache>
                <c:formatCode>0.00</c:formatCode>
                <c:ptCount val="10"/>
                <c:pt idx="0">
                  <c:v>3.18128751219201</c:v>
                </c:pt>
                <c:pt idx="1">
                  <c:v>3.46724594025421</c:v>
                </c:pt>
                <c:pt idx="2">
                  <c:v>3.68171476130086</c:v>
                </c:pt>
                <c:pt idx="3">
                  <c:v>3.89618358234751</c:v>
                </c:pt>
                <c:pt idx="4">
                  <c:v>4.18214201040972</c:v>
                </c:pt>
                <c:pt idx="5">
                  <c:v>4.39661083145637</c:v>
                </c:pt>
                <c:pt idx="6">
                  <c:v>4.86129327705745</c:v>
                </c:pt>
                <c:pt idx="7">
                  <c:v>5.54044454370518</c:v>
                </c:pt>
                <c:pt idx="8">
                  <c:v>6.36257502438401</c:v>
                </c:pt>
                <c:pt idx="9">
                  <c:v>7.14896070155507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"η, n = 2910 об/мин"</c:f>
              <c:strCache>
                <c:ptCount val="1"/>
                <c:pt idx="0">
                  <c:v>η, n = 2910 об/мин</c:v>
                </c:pt>
              </c:strCache>
            </c:strRef>
          </c:tx>
          <c:spPr>
            <a:solidFill>
              <a:srgbClr val="1f4e79"/>
            </a:solidFill>
            <a:ln w="19080">
              <a:solidFill>
                <a:srgbClr val="1f4e79"/>
              </a:solidFill>
              <a:prstDash val="sysDot"/>
              <a:round/>
            </a:ln>
          </c:spPr>
          <c:marker>
            <c:symbol val="circle"/>
            <c:size val="4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1'!$C$14:$L$14</c:f>
              <c:numCache>
                <c:formatCode>0</c:formatCode>
                <c:ptCount val="10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46</c:v>
                </c:pt>
                <c:pt idx="6">
                  <c:v>55</c:v>
                </c:pt>
                <c:pt idx="7">
                  <c:v>65</c:v>
                </c:pt>
                <c:pt idx="8">
                  <c:v>75</c:v>
                </c:pt>
                <c:pt idx="9">
                  <c:v>84</c:v>
                </c:pt>
              </c:numCache>
            </c:numRef>
          </c:xVal>
          <c:yVal>
            <c:numRef>
              <c:f>'Задание 1'!$C$18:$L$18</c:f>
              <c:numCache>
                <c:formatCode>0.0</c:formatCode>
                <c:ptCount val="10"/>
                <c:pt idx="0">
                  <c:v>0</c:v>
                </c:pt>
                <c:pt idx="1">
                  <c:v>12.5</c:v>
                </c:pt>
                <c:pt idx="2">
                  <c:v>23</c:v>
                </c:pt>
                <c:pt idx="3">
                  <c:v>31.5</c:v>
                </c:pt>
                <c:pt idx="4">
                  <c:v>36</c:v>
                </c:pt>
                <c:pt idx="5">
                  <c:v>37</c:v>
                </c:pt>
                <c:pt idx="6">
                  <c:v>35</c:v>
                </c:pt>
                <c:pt idx="7">
                  <c:v>29</c:v>
                </c:pt>
                <c:pt idx="8">
                  <c:v>17</c:v>
                </c:pt>
                <c:pt idx="9">
                  <c:v>0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"η, n = 2602 об/мин"</c:f>
              <c:strCache>
                <c:ptCount val="1"/>
                <c:pt idx="0">
                  <c:v>η, n = 2602 об/мин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prstDash val="sysDot"/>
              <a:round/>
            </a:ln>
          </c:spPr>
          <c:marker>
            <c:symbol val="circle"/>
            <c:size val="4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1'!$C$20:$L$20</c:f>
              <c:numCache>
                <c:formatCode>0.0</c:formatCode>
                <c:ptCount val="10"/>
                <c:pt idx="0">
                  <c:v>0</c:v>
                </c:pt>
                <c:pt idx="1">
                  <c:v>8.94158075601375</c:v>
                </c:pt>
                <c:pt idx="2">
                  <c:v>17.8831615120275</c:v>
                </c:pt>
                <c:pt idx="3">
                  <c:v>26.8247422680412</c:v>
                </c:pt>
                <c:pt idx="4">
                  <c:v>35.766323024055</c:v>
                </c:pt>
                <c:pt idx="5">
                  <c:v>41.1312714776632</c:v>
                </c:pt>
                <c:pt idx="6">
                  <c:v>49.1786941580756</c:v>
                </c:pt>
                <c:pt idx="7">
                  <c:v>58.1202749140894</c:v>
                </c:pt>
                <c:pt idx="8">
                  <c:v>67.0618556701031</c:v>
                </c:pt>
                <c:pt idx="9">
                  <c:v>75.1092783505155</c:v>
                </c:pt>
              </c:numCache>
            </c:numRef>
          </c:xVal>
          <c:yVal>
            <c:numRef>
              <c:f>'Задание 1'!$C$25:$L$25</c:f>
              <c:numCache>
                <c:formatCode>0.0</c:formatCode>
                <c:ptCount val="10"/>
                <c:pt idx="0">
                  <c:v>0</c:v>
                </c:pt>
                <c:pt idx="1">
                  <c:v>12.40764604811</c:v>
                </c:pt>
                <c:pt idx="2">
                  <c:v>23.1492718446602</c:v>
                </c:pt>
                <c:pt idx="3">
                  <c:v>31.5625</c:v>
                </c:pt>
                <c:pt idx="4">
                  <c:v>36.1004273504274</c:v>
                </c:pt>
                <c:pt idx="5">
                  <c:v>36.942581300813</c:v>
                </c:pt>
                <c:pt idx="6">
                  <c:v>34.8973651960784</c:v>
                </c:pt>
                <c:pt idx="7">
                  <c:v>29.0446908602151</c:v>
                </c:pt>
                <c:pt idx="8">
                  <c:v>17.2226123595506</c:v>
                </c:pt>
                <c:pt idx="9">
                  <c:v>0</c:v>
                </c:pt>
              </c:numCache>
            </c:numRef>
          </c:yVal>
          <c:smooth val="1"/>
        </c:ser>
        <c:axId val="60452810"/>
        <c:axId val="13074242"/>
      </c:scatterChart>
      <c:valAx>
        <c:axId val="67709329"/>
        <c:scaling>
          <c:orientation val="minMax"/>
          <c:max val="9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Q, м³/сут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06069"/>
        <c:crosses val="autoZero"/>
        <c:crossBetween val="midCat"/>
        <c:majorUnit val="10"/>
      </c:valAx>
      <c:valAx>
        <c:axId val="47306069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H, 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09329"/>
        <c:crosses val="autoZero"/>
        <c:crossBetween val="midCat"/>
        <c:majorUnit val="100"/>
      </c:valAx>
      <c:valAx>
        <c:axId val="60452810"/>
        <c:scaling>
          <c:orientation val="minMax"/>
        </c:scaling>
        <c:delete val="1"/>
        <c:axPos val="t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74242"/>
        <c:crossBetween val="midCat"/>
      </c:valAx>
      <c:valAx>
        <c:axId val="13074242"/>
        <c:scaling>
          <c:orientation val="minMax"/>
          <c:max val="40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η, %;   N, кВт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52810"/>
        <c:crosses val="max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"H, вода"</c:f>
              <c:strCache>
                <c:ptCount val="1"/>
                <c:pt idx="0">
                  <c:v>H, вода</c:v>
                </c:pt>
              </c:strCache>
            </c:strRef>
          </c:tx>
          <c:spPr>
            <a:solidFill>
              <a:srgbClr val="1f4e79"/>
            </a:solidFill>
            <a:ln w="19080">
              <a:solidFill>
                <a:srgbClr val="1f4e79"/>
              </a:solidFill>
              <a:round/>
            </a:ln>
          </c:spPr>
          <c:marker>
            <c:symbol val="circle"/>
            <c:size val="4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2'!$C$13:$G$13</c:f>
              <c:numCache>
                <c:formatCode>0.0</c:formatCode>
                <c:ptCount val="5"/>
                <c:pt idx="0">
                  <c:v>27.6</c:v>
                </c:pt>
                <c:pt idx="1">
                  <c:v>36.8</c:v>
                </c:pt>
                <c:pt idx="2">
                  <c:v>46</c:v>
                </c:pt>
                <c:pt idx="3">
                  <c:v>55.2</c:v>
                </c:pt>
                <c:pt idx="4">
                  <c:v>64.4</c:v>
                </c:pt>
              </c:numCache>
            </c:numRef>
          </c:xVal>
          <c:yVal>
            <c:numRef>
              <c:f>'Задание 2'!$C$15:$G$15</c:f>
              <c:numCache>
                <c:formatCode>0</c:formatCode>
                <c:ptCount val="5"/>
                <c:pt idx="0">
                  <c:v>510</c:v>
                </c:pt>
                <c:pt idx="1">
                  <c:v>480</c:v>
                </c:pt>
                <c:pt idx="2">
                  <c:v>435</c:v>
                </c:pt>
                <c:pt idx="3">
                  <c:v>380</c:v>
                </c:pt>
                <c:pt idx="4">
                  <c:v>310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"H, вязкая жидкость"</c:f>
              <c:strCache>
                <c:ptCount val="1"/>
                <c:pt idx="0">
                  <c:v>H, вязкая жидкость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round/>
            </a:ln>
          </c:spPr>
          <c:marker>
            <c:symbol val="circle"/>
            <c:size val="4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2'!$C$24:$G$24</c:f>
              <c:numCache>
                <c:formatCode>0.0</c:formatCode>
                <c:ptCount val="5"/>
                <c:pt idx="0">
                  <c:v>23.184</c:v>
                </c:pt>
                <c:pt idx="1">
                  <c:v>30.912</c:v>
                </c:pt>
                <c:pt idx="2">
                  <c:v>38.64</c:v>
                </c:pt>
                <c:pt idx="3">
                  <c:v>46.368</c:v>
                </c:pt>
                <c:pt idx="4">
                  <c:v>54.096</c:v>
                </c:pt>
              </c:numCache>
            </c:numRef>
          </c:xVal>
          <c:yVal>
            <c:numRef>
              <c:f>'Задание 2'!$C$26:$G$26</c:f>
              <c:numCache>
                <c:formatCode>0</c:formatCode>
                <c:ptCount val="5"/>
                <c:pt idx="0">
                  <c:v>479.4</c:v>
                </c:pt>
                <c:pt idx="1">
                  <c:v>441.6</c:v>
                </c:pt>
                <c:pt idx="2">
                  <c:v>391.5</c:v>
                </c:pt>
                <c:pt idx="3">
                  <c:v>330.6</c:v>
                </c:pt>
                <c:pt idx="4">
                  <c:v>257.3</c:v>
                </c:pt>
              </c:numCache>
            </c:numRef>
          </c:yVal>
          <c:smooth val="1"/>
        </c:ser>
        <c:axId val="91435639"/>
        <c:axId val="62205903"/>
      </c:scatterChart>
      <c:scatterChart>
        <c:scatterStyle val="lineMarker"/>
        <c:varyColors val="0"/>
        <c:ser>
          <c:idx val="2"/>
          <c:order val="2"/>
          <c:tx>
            <c:strRef>
              <c:f>"N, вода"</c:f>
              <c:strCache>
                <c:ptCount val="1"/>
                <c:pt idx="0">
                  <c:v>N, вода</c:v>
                </c:pt>
              </c:strCache>
            </c:strRef>
          </c:tx>
          <c:spPr>
            <a:solidFill>
              <a:srgbClr val="1f4e79"/>
            </a:solidFill>
            <a:ln w="19080">
              <a:solidFill>
                <a:srgbClr val="1f4e79"/>
              </a:solidFill>
              <a:prstDash val="dash"/>
              <a:round/>
            </a:ln>
          </c:spPr>
          <c:marker>
            <c:symbol val="circle"/>
            <c:size val="4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2'!$C$13:$G$13</c:f>
              <c:numCache>
                <c:formatCode>0.0</c:formatCode>
                <c:ptCount val="5"/>
                <c:pt idx="0">
                  <c:v>27.6</c:v>
                </c:pt>
                <c:pt idx="1">
                  <c:v>36.8</c:v>
                </c:pt>
                <c:pt idx="2">
                  <c:v>46</c:v>
                </c:pt>
                <c:pt idx="3">
                  <c:v>55.2</c:v>
                </c:pt>
                <c:pt idx="4">
                  <c:v>64.4</c:v>
                </c:pt>
              </c:numCache>
            </c:numRef>
          </c:xVal>
          <c:yVal>
            <c:numRef>
              <c:f>'Задание 2'!$C$16:$G$16</c:f>
              <c:numCache>
                <c:formatCode>0.00</c:formatCode>
                <c:ptCount val="5"/>
                <c:pt idx="0">
                  <c:v>5.4</c:v>
                </c:pt>
                <c:pt idx="1">
                  <c:v>5.75</c:v>
                </c:pt>
                <c:pt idx="2">
                  <c:v>6.15</c:v>
                </c:pt>
                <c:pt idx="3">
                  <c:v>6.8</c:v>
                </c:pt>
                <c:pt idx="4">
                  <c:v>7.7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"N, вязкая жидкость"</c:f>
              <c:strCache>
                <c:ptCount val="1"/>
                <c:pt idx="0">
                  <c:v>N, вязкая жидкость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prstDash val="dash"/>
              <a:round/>
            </a:ln>
          </c:spPr>
          <c:marker>
            <c:symbol val="circle"/>
            <c:size val="4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2'!$C$24:$G$24</c:f>
              <c:numCache>
                <c:formatCode>0.0</c:formatCode>
                <c:ptCount val="5"/>
                <c:pt idx="0">
                  <c:v>23.184</c:v>
                </c:pt>
                <c:pt idx="1">
                  <c:v>30.912</c:v>
                </c:pt>
                <c:pt idx="2">
                  <c:v>38.64</c:v>
                </c:pt>
                <c:pt idx="3">
                  <c:v>46.368</c:v>
                </c:pt>
                <c:pt idx="4">
                  <c:v>54.096</c:v>
                </c:pt>
              </c:numCache>
            </c:numRef>
          </c:xVal>
          <c:yVal>
            <c:numRef>
              <c:f>'Задание 2'!$C$28:$G$28</c:f>
              <c:numCache>
                <c:formatCode>0.00</c:formatCode>
                <c:ptCount val="5"/>
                <c:pt idx="0">
                  <c:v>6.80007474944036</c:v>
                </c:pt>
                <c:pt idx="1">
                  <c:v>7.0394289509434</c:v>
                </c:pt>
                <c:pt idx="2">
                  <c:v>7.37932205985467</c:v>
                </c:pt>
                <c:pt idx="3">
                  <c:v>7.90501090754717</c:v>
                </c:pt>
                <c:pt idx="4">
                  <c:v>8.51593285441318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"η, вода"</c:f>
              <c:strCache>
                <c:ptCount val="1"/>
                <c:pt idx="0">
                  <c:v>η, вода</c:v>
                </c:pt>
              </c:strCache>
            </c:strRef>
          </c:tx>
          <c:spPr>
            <a:solidFill>
              <a:srgbClr val="1f4e79"/>
            </a:solidFill>
            <a:ln w="19080">
              <a:solidFill>
                <a:srgbClr val="1f4e79"/>
              </a:solidFill>
              <a:prstDash val="sysDot"/>
              <a:round/>
            </a:ln>
          </c:spPr>
          <c:marker>
            <c:symbol val="circle"/>
            <c:size val="4"/>
            <c:spPr>
              <a:solidFill>
                <a:srgbClr val="1f4e7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2'!$C$13:$G$13</c:f>
              <c:numCache>
                <c:formatCode>0.0</c:formatCode>
                <c:ptCount val="5"/>
                <c:pt idx="0">
                  <c:v>27.6</c:v>
                </c:pt>
                <c:pt idx="1">
                  <c:v>36.8</c:v>
                </c:pt>
                <c:pt idx="2">
                  <c:v>46</c:v>
                </c:pt>
                <c:pt idx="3">
                  <c:v>55.2</c:v>
                </c:pt>
                <c:pt idx="4">
                  <c:v>64.4</c:v>
                </c:pt>
              </c:numCache>
            </c:numRef>
          </c:xVal>
          <c:yVal>
            <c:numRef>
              <c:f>'Задание 2'!$C$17:$G$17</c:f>
              <c:numCache>
                <c:formatCode>0.0</c:formatCode>
                <c:ptCount val="5"/>
                <c:pt idx="0">
                  <c:v>29.5</c:v>
                </c:pt>
                <c:pt idx="1">
                  <c:v>35</c:v>
                </c:pt>
                <c:pt idx="2">
                  <c:v>37</c:v>
                </c:pt>
                <c:pt idx="3">
                  <c:v>35</c:v>
                </c:pt>
                <c:pt idx="4">
                  <c:v>29.5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"η, вязкая жидкость"</c:f>
              <c:strCache>
                <c:ptCount val="1"/>
                <c:pt idx="0">
                  <c:v>η, вязкая жидкость</c:v>
                </c:pt>
              </c:strCache>
            </c:strRef>
          </c:tx>
          <c:spPr>
            <a:solidFill>
              <a:srgbClr val="c55a11"/>
            </a:solidFill>
            <a:ln w="19080">
              <a:solidFill>
                <a:srgbClr val="c55a11"/>
              </a:solidFill>
              <a:prstDash val="sysDot"/>
              <a:round/>
            </a:ln>
          </c:spPr>
          <c:marker>
            <c:symbol val="circle"/>
            <c:size val="4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'Задание 2'!$C$24:$G$24</c:f>
              <c:numCache>
                <c:formatCode>0.0</c:formatCode>
                <c:ptCount val="5"/>
                <c:pt idx="0">
                  <c:v>23.184</c:v>
                </c:pt>
                <c:pt idx="1">
                  <c:v>30.912</c:v>
                </c:pt>
                <c:pt idx="2">
                  <c:v>38.64</c:v>
                </c:pt>
                <c:pt idx="3">
                  <c:v>46.368</c:v>
                </c:pt>
                <c:pt idx="4">
                  <c:v>54.096</c:v>
                </c:pt>
              </c:numCache>
            </c:numRef>
          </c:xVal>
          <c:yVal>
            <c:numRef>
              <c:f>'Задание 2'!$C$29:$G$29</c:f>
              <c:numCache>
                <c:formatCode>0.0</c:formatCode>
                <c:ptCount val="5"/>
                <c:pt idx="0">
                  <c:v>15.635</c:v>
                </c:pt>
                <c:pt idx="1">
                  <c:v>18.55</c:v>
                </c:pt>
                <c:pt idx="2">
                  <c:v>19.61</c:v>
                </c:pt>
                <c:pt idx="3">
                  <c:v>18.55</c:v>
                </c:pt>
                <c:pt idx="4">
                  <c:v>15.635</c:v>
                </c:pt>
              </c:numCache>
            </c:numRef>
          </c:yVal>
          <c:smooth val="1"/>
        </c:ser>
        <c:axId val="83831986"/>
        <c:axId val="69640110"/>
      </c:scatterChart>
      <c:valAx>
        <c:axId val="91435639"/>
        <c:scaling>
          <c:orientation val="minMax"/>
          <c:max val="70"/>
          <c:min val="2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Q, м³/сут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205903"/>
        <c:crosses val="autoZero"/>
        <c:crossBetween val="midCat"/>
        <c:majorUnit val="10"/>
      </c:valAx>
      <c:valAx>
        <c:axId val="62205903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H, м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35639"/>
        <c:crosses val="autoZero"/>
        <c:crossBetween val="midCat"/>
        <c:majorUnit val="100"/>
      </c:valAx>
      <c:valAx>
        <c:axId val="83831986"/>
        <c:scaling>
          <c:orientation val="minMax"/>
        </c:scaling>
        <c:delete val="1"/>
        <c:axPos val="t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640110"/>
        <c:crossBetween val="midCat"/>
      </c:valAx>
      <c:valAx>
        <c:axId val="69640110"/>
        <c:scaling>
          <c:orientation val="minMax"/>
          <c:max val="40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η, %;   N, кВт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31986"/>
        <c:crosses val="max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175680</xdr:rowOff>
    </xdr:from>
    <xdr:to>
      <xdr:col>10</xdr:col>
      <xdr:colOff>291960</xdr:colOff>
      <xdr:row>53</xdr:row>
      <xdr:rowOff>92880</xdr:rowOff>
    </xdr:to>
    <xdr:graphicFrame>
      <xdr:nvGraphicFramePr>
        <xdr:cNvPr id="0" name="Chart 1"/>
        <xdr:cNvGraphicFramePr/>
      </xdr:nvGraphicFramePr>
      <xdr:xfrm>
        <a:off x="0" y="4952880"/>
        <a:ext cx="935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175680</xdr:rowOff>
    </xdr:from>
    <xdr:to>
      <xdr:col>8</xdr:col>
      <xdr:colOff>510840</xdr:colOff>
      <xdr:row>55</xdr:row>
      <xdr:rowOff>92880</xdr:rowOff>
    </xdr:to>
    <xdr:graphicFrame>
      <xdr:nvGraphicFramePr>
        <xdr:cNvPr id="1" name="Chart 1"/>
        <xdr:cNvGraphicFramePr/>
      </xdr:nvGraphicFramePr>
      <xdr:xfrm>
        <a:off x="0" y="5905440"/>
        <a:ext cx="935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12" min="3" style="0" width="9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 t="s">
        <v>3</v>
      </c>
      <c r="G4" s="3"/>
      <c r="H4" s="3"/>
      <c r="I4" s="3"/>
    </row>
    <row r="5" customFormat="false" ht="15" hidden="false" customHeight="false" outlineLevel="0" collapsed="false">
      <c r="A5" s="3" t="s">
        <v>4</v>
      </c>
      <c r="B5" s="3"/>
      <c r="C5" s="3"/>
      <c r="D5" s="3"/>
      <c r="E5" s="3"/>
      <c r="F5" s="4" t="n">
        <v>7</v>
      </c>
    </row>
    <row r="6" customFormat="false" ht="15" hidden="false" customHeight="false" outlineLevel="0" collapsed="false">
      <c r="A6" s="3" t="s">
        <v>5</v>
      </c>
      <c r="B6" s="3"/>
      <c r="C6" s="3"/>
      <c r="D6" s="3"/>
      <c r="E6" s="3"/>
      <c r="F6" s="4" t="n">
        <v>2910</v>
      </c>
    </row>
    <row r="7" customFormat="false" ht="15" hidden="false" customHeight="false" outlineLevel="0" collapsed="false">
      <c r="A7" s="3" t="s">
        <v>6</v>
      </c>
      <c r="B7" s="3"/>
      <c r="C7" s="3"/>
      <c r="D7" s="3"/>
      <c r="E7" s="3"/>
      <c r="F7" s="4" t="n">
        <f aca="false">F6-22*2*F5</f>
        <v>2602</v>
      </c>
    </row>
    <row r="8" customFormat="false" ht="15" hidden="false" customHeight="false" outlineLevel="0" collapsed="false">
      <c r="A8" s="3" t="s">
        <v>7</v>
      </c>
      <c r="B8" s="3"/>
      <c r="C8" s="3"/>
      <c r="D8" s="3"/>
      <c r="E8" s="3"/>
      <c r="F8" s="4" t="n">
        <v>1000</v>
      </c>
    </row>
    <row r="9" customFormat="false" ht="15" hidden="false" customHeight="false" outlineLevel="0" collapsed="false">
      <c r="A9" s="3" t="s">
        <v>8</v>
      </c>
      <c r="B9" s="3"/>
      <c r="C9" s="3"/>
      <c r="D9" s="3"/>
      <c r="E9" s="3"/>
      <c r="F9" s="5" t="n">
        <v>9.81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true" outlineLevel="0" collapsed="false">
      <c r="A12" s="6" t="s">
        <v>10</v>
      </c>
      <c r="B12" s="6"/>
      <c r="C12" s="6" t="n">
        <v>1</v>
      </c>
      <c r="D12" s="6" t="n">
        <v>2</v>
      </c>
      <c r="E12" s="6" t="n">
        <v>3</v>
      </c>
      <c r="F12" s="6" t="n">
        <v>4</v>
      </c>
      <c r="G12" s="6" t="n">
        <v>5</v>
      </c>
      <c r="H12" s="6" t="n">
        <v>6</v>
      </c>
      <c r="I12" s="6" t="n">
        <v>7</v>
      </c>
      <c r="J12" s="6" t="n">
        <v>8</v>
      </c>
      <c r="K12" s="6" t="n">
        <v>9</v>
      </c>
      <c r="L12" s="6" t="n">
        <v>10</v>
      </c>
    </row>
    <row r="13" customFormat="false" ht="15" hidden="false" customHeight="true" outlineLevel="0" collapsed="false">
      <c r="A13" s="7" t="s">
        <v>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customFormat="false" ht="15" hidden="false" customHeight="false" outlineLevel="0" collapsed="false">
      <c r="A14" s="8" t="s">
        <v>12</v>
      </c>
      <c r="B14" s="8" t="s">
        <v>13</v>
      </c>
      <c r="C14" s="4" t="n">
        <v>0</v>
      </c>
      <c r="D14" s="4" t="n">
        <v>10</v>
      </c>
      <c r="E14" s="4" t="n">
        <v>20</v>
      </c>
      <c r="F14" s="4" t="n">
        <v>30</v>
      </c>
      <c r="G14" s="4" t="n">
        <v>40</v>
      </c>
      <c r="H14" s="4" t="n">
        <v>46</v>
      </c>
      <c r="I14" s="4" t="n">
        <v>55</v>
      </c>
      <c r="J14" s="4" t="n">
        <v>65</v>
      </c>
      <c r="K14" s="4" t="n">
        <v>75</v>
      </c>
      <c r="L14" s="4" t="n">
        <v>84</v>
      </c>
    </row>
    <row r="15" customFormat="false" ht="15" hidden="false" customHeight="false" outlineLevel="0" collapsed="false">
      <c r="A15" s="8" t="s">
        <v>12</v>
      </c>
      <c r="B15" s="8" t="s">
        <v>14</v>
      </c>
      <c r="C15" s="9" t="n">
        <f aca="false">C14/86400*1000</f>
        <v>0</v>
      </c>
      <c r="D15" s="9" t="n">
        <f aca="false">D14/86400*1000</f>
        <v>0.115740740740741</v>
      </c>
      <c r="E15" s="9" t="n">
        <f aca="false">E14/86400*1000</f>
        <v>0.231481481481481</v>
      </c>
      <c r="F15" s="9" t="n">
        <f aca="false">F14/86400*1000</f>
        <v>0.347222222222222</v>
      </c>
      <c r="G15" s="9" t="n">
        <f aca="false">G14/86400*1000</f>
        <v>0.462962962962963</v>
      </c>
      <c r="H15" s="9" t="n">
        <f aca="false">H14/86400*1000</f>
        <v>0.532407407407407</v>
      </c>
      <c r="I15" s="9" t="n">
        <f aca="false">I14/86400*1000</f>
        <v>0.636574074074074</v>
      </c>
      <c r="J15" s="9" t="n">
        <f aca="false">J14/86400*1000</f>
        <v>0.752314814814815</v>
      </c>
      <c r="K15" s="9" t="n">
        <f aca="false">K14/86400*1000</f>
        <v>0.868055555555556</v>
      </c>
      <c r="L15" s="9" t="n">
        <f aca="false">L14/86400*1000</f>
        <v>0.972222222222222</v>
      </c>
    </row>
    <row r="16" customFormat="false" ht="15" hidden="false" customHeight="false" outlineLevel="0" collapsed="false">
      <c r="A16" s="8" t="s">
        <v>15</v>
      </c>
      <c r="B16" s="8" t="s">
        <v>16</v>
      </c>
      <c r="C16" s="4" t="n">
        <v>530</v>
      </c>
      <c r="D16" s="4" t="n">
        <v>530</v>
      </c>
      <c r="E16" s="4" t="n">
        <v>525</v>
      </c>
      <c r="F16" s="4" t="n">
        <v>505</v>
      </c>
      <c r="G16" s="4" t="n">
        <v>465</v>
      </c>
      <c r="H16" s="4" t="n">
        <v>435</v>
      </c>
      <c r="I16" s="4" t="n">
        <v>380</v>
      </c>
      <c r="J16" s="4" t="n">
        <v>305</v>
      </c>
      <c r="K16" s="4" t="n">
        <v>180</v>
      </c>
      <c r="L16" s="4" t="n">
        <v>0</v>
      </c>
    </row>
    <row r="17" customFormat="false" ht="15" hidden="false" customHeight="false" outlineLevel="0" collapsed="false">
      <c r="A17" s="8" t="s">
        <v>17</v>
      </c>
      <c r="B17" s="8" t="s">
        <v>18</v>
      </c>
      <c r="C17" s="4" t="n">
        <v>4450</v>
      </c>
      <c r="D17" s="4" t="n">
        <v>4850</v>
      </c>
      <c r="E17" s="4" t="n">
        <v>5150</v>
      </c>
      <c r="F17" s="4" t="n">
        <v>5450</v>
      </c>
      <c r="G17" s="4" t="n">
        <v>5850</v>
      </c>
      <c r="H17" s="4" t="n">
        <v>6150</v>
      </c>
      <c r="I17" s="4" t="n">
        <v>6800</v>
      </c>
      <c r="J17" s="4" t="n">
        <v>7750</v>
      </c>
      <c r="K17" s="4" t="n">
        <v>8900</v>
      </c>
      <c r="L17" s="4" t="n">
        <v>10000</v>
      </c>
    </row>
    <row r="18" customFormat="false" ht="15" hidden="false" customHeight="false" outlineLevel="0" collapsed="false">
      <c r="A18" s="8" t="s">
        <v>19</v>
      </c>
      <c r="B18" s="8" t="s">
        <v>20</v>
      </c>
      <c r="C18" s="10" t="n">
        <v>0</v>
      </c>
      <c r="D18" s="10" t="n">
        <v>12.5</v>
      </c>
      <c r="E18" s="10" t="n">
        <v>23</v>
      </c>
      <c r="F18" s="10" t="n">
        <v>31.5</v>
      </c>
      <c r="G18" s="10" t="n">
        <v>36</v>
      </c>
      <c r="H18" s="10" t="n">
        <v>37</v>
      </c>
      <c r="I18" s="10" t="n">
        <v>35</v>
      </c>
      <c r="J18" s="10" t="n">
        <v>29</v>
      </c>
      <c r="K18" s="10" t="n">
        <v>17</v>
      </c>
      <c r="L18" s="10" t="n">
        <v>0</v>
      </c>
    </row>
    <row r="19" customFormat="false" ht="15" hidden="false" customHeight="true" outlineLevel="0" collapsed="false">
      <c r="A19" s="7" t="s">
        <v>21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customFormat="false" ht="15" hidden="false" customHeight="false" outlineLevel="0" collapsed="false">
      <c r="A20" s="8" t="s">
        <v>22</v>
      </c>
      <c r="B20" s="8" t="s">
        <v>13</v>
      </c>
      <c r="C20" s="10" t="n">
        <f aca="false">C14*$F$7/$F$6</f>
        <v>0</v>
      </c>
      <c r="D20" s="10" t="n">
        <f aca="false">D14*$F$7/$F$6</f>
        <v>8.94158075601375</v>
      </c>
      <c r="E20" s="10" t="n">
        <f aca="false">E14*$F$7/$F$6</f>
        <v>17.8831615120275</v>
      </c>
      <c r="F20" s="10" t="n">
        <f aca="false">F14*$F$7/$F$6</f>
        <v>26.8247422680412</v>
      </c>
      <c r="G20" s="10" t="n">
        <f aca="false">G14*$F$7/$F$6</f>
        <v>35.766323024055</v>
      </c>
      <c r="H20" s="10" t="n">
        <f aca="false">H14*$F$7/$F$6</f>
        <v>41.1312714776632</v>
      </c>
      <c r="I20" s="10" t="n">
        <f aca="false">I14*$F$7/$F$6</f>
        <v>49.1786941580756</v>
      </c>
      <c r="J20" s="10" t="n">
        <f aca="false">J14*$F$7/$F$6</f>
        <v>58.1202749140894</v>
      </c>
      <c r="K20" s="10" t="n">
        <f aca="false">K14*$F$7/$F$6</f>
        <v>67.0618556701031</v>
      </c>
      <c r="L20" s="10" t="n">
        <f aca="false">L14*$F$7/$F$6</f>
        <v>75.1092783505155</v>
      </c>
    </row>
    <row r="21" customFormat="false" ht="15" hidden="false" customHeight="false" outlineLevel="0" collapsed="false">
      <c r="A21" s="8" t="s">
        <v>22</v>
      </c>
      <c r="B21" s="8" t="s">
        <v>14</v>
      </c>
      <c r="C21" s="9" t="n">
        <f aca="false">C15*$F$7/$F$6</f>
        <v>0</v>
      </c>
      <c r="D21" s="9" t="n">
        <f aca="false">D15*$F$7/$F$6</f>
        <v>0.103490518009418</v>
      </c>
      <c r="E21" s="9" t="n">
        <f aca="false">E15*$F$7/$F$6</f>
        <v>0.206981036018837</v>
      </c>
      <c r="F21" s="9" t="n">
        <f aca="false">F15*$F$7/$F$6</f>
        <v>0.310471554028255</v>
      </c>
      <c r="G21" s="9" t="n">
        <f aca="false">G15*$F$7/$F$6</f>
        <v>0.413962072037673</v>
      </c>
      <c r="H21" s="9" t="n">
        <f aca="false">H15*$F$7/$F$6</f>
        <v>0.476056382843324</v>
      </c>
      <c r="I21" s="9" t="n">
        <f aca="false">I15*$F$7/$F$6</f>
        <v>0.569197849051801</v>
      </c>
      <c r="J21" s="9" t="n">
        <f aca="false">J15*$F$7/$F$6</f>
        <v>0.672688367061219</v>
      </c>
      <c r="K21" s="9" t="n">
        <f aca="false">K15*$F$7/$F$6</f>
        <v>0.776178885070638</v>
      </c>
      <c r="L21" s="9" t="n">
        <f aca="false">L15*$F$7/$F$6</f>
        <v>0.869320351279114</v>
      </c>
    </row>
    <row r="22" customFormat="false" ht="15" hidden="false" customHeight="false" outlineLevel="0" collapsed="false">
      <c r="A22" s="8" t="s">
        <v>23</v>
      </c>
      <c r="B22" s="8" t="s">
        <v>16</v>
      </c>
      <c r="C22" s="4" t="n">
        <f aca="false">C16*($F$7/$F$6)^2</f>
        <v>423.744892006471</v>
      </c>
      <c r="D22" s="4" t="n">
        <f aca="false">D16*($F$7/$F$6)^2</f>
        <v>423.744892006471</v>
      </c>
      <c r="E22" s="4" t="n">
        <f aca="false">E16*($F$7/$F$6)^2</f>
        <v>419.747298685656</v>
      </c>
      <c r="F22" s="4" t="n">
        <f aca="false">F16*($F$7/$F$6)^2</f>
        <v>403.756925402393</v>
      </c>
      <c r="G22" s="4" t="n">
        <f aca="false">G16*($F$7/$F$6)^2</f>
        <v>371.776178835866</v>
      </c>
      <c r="H22" s="4" t="n">
        <f aca="false">H16*($F$7/$F$6)^2</f>
        <v>347.790618910972</v>
      </c>
      <c r="I22" s="4" t="n">
        <f aca="false">I16*($F$7/$F$6)^2</f>
        <v>303.817092381998</v>
      </c>
      <c r="J22" s="4" t="n">
        <f aca="false">J16*($F$7/$F$6)^2</f>
        <v>243.853192569762</v>
      </c>
      <c r="K22" s="4" t="n">
        <f aca="false">K16*($F$7/$F$6)^2</f>
        <v>143.913359549368</v>
      </c>
      <c r="L22" s="4" t="n">
        <f aca="false">L16*($F$7/$F$6)^2</f>
        <v>0</v>
      </c>
    </row>
    <row r="23" customFormat="false" ht="15" hidden="false" customHeight="false" outlineLevel="0" collapsed="false">
      <c r="A23" s="8" t="s">
        <v>24</v>
      </c>
      <c r="B23" s="8" t="s">
        <v>18</v>
      </c>
      <c r="C23" s="4" t="n">
        <f aca="false">C17*($F$7/$F$6)^3</f>
        <v>3181.28751219201</v>
      </c>
      <c r="D23" s="4" t="n">
        <f aca="false">D17*($F$7/$F$6)^3</f>
        <v>3467.24594025421</v>
      </c>
      <c r="E23" s="4" t="n">
        <f aca="false">E17*($F$7/$F$6)^3</f>
        <v>3681.71476130086</v>
      </c>
      <c r="F23" s="4" t="n">
        <f aca="false">F17*($F$7/$F$6)^3</f>
        <v>3896.18358234751</v>
      </c>
      <c r="G23" s="4" t="n">
        <f aca="false">G17*($F$7/$F$6)^3</f>
        <v>4182.14201040972</v>
      </c>
      <c r="H23" s="4" t="n">
        <f aca="false">H17*($F$7/$F$6)^3</f>
        <v>4396.61083145637</v>
      </c>
      <c r="I23" s="4" t="n">
        <f aca="false">I17*($F$7/$F$6)^3</f>
        <v>4861.29327705745</v>
      </c>
      <c r="J23" s="4" t="n">
        <f aca="false">J17*($F$7/$F$6)^3</f>
        <v>5540.44454370518</v>
      </c>
      <c r="K23" s="4" t="n">
        <f aca="false">K17*($F$7/$F$6)^3</f>
        <v>6362.57502438401</v>
      </c>
      <c r="L23" s="4" t="n">
        <f aca="false">L17*($F$7/$F$6)^3</f>
        <v>7148.96070155507</v>
      </c>
    </row>
    <row r="24" customFormat="false" ht="15" hidden="false" customHeight="false" outlineLevel="0" collapsed="false">
      <c r="A24" s="8" t="s">
        <v>25</v>
      </c>
      <c r="B24" s="8" t="s">
        <v>18</v>
      </c>
      <c r="C24" s="4" t="n">
        <f aca="false">$F$8*$F$9*C22*C21/1000</f>
        <v>0</v>
      </c>
      <c r="D24" s="4" t="n">
        <f aca="false">$F$8*$F$9*D22*D21/1000</f>
        <v>430.203603884205</v>
      </c>
      <c r="E24" s="4" t="n">
        <f aca="false">$F$8*$F$9*E22*E21/1000</f>
        <v>852.290158638519</v>
      </c>
      <c r="F24" s="4" t="n">
        <f aca="false">$F$8*$F$9*F22*F21/1000</f>
        <v>1229.73294317843</v>
      </c>
      <c r="G24" s="4" t="n">
        <f aca="false">$F$8*$F$9*G22*G21/1000</f>
        <v>1509.77113815966</v>
      </c>
      <c r="H24" s="4" t="n">
        <f aca="false">$F$8*$F$9*H22*H21/1000</f>
        <v>1624.22153089112</v>
      </c>
      <c r="I24" s="4" t="n">
        <f aca="false">$F$8*$F$9*I22*I21/1000</f>
        <v>1696.46326814715</v>
      </c>
      <c r="J24" s="4" t="n">
        <f aca="false">$F$8*$F$9*J22*J21/1000</f>
        <v>1609.20499000082</v>
      </c>
      <c r="K24" s="4" t="n">
        <f aca="false">$F$8*$F$9*K22*K21/1000</f>
        <v>1095.80163253524</v>
      </c>
      <c r="L24" s="4" t="n">
        <f aca="false">$F$8*$F$9*L22*L21/1000</f>
        <v>0</v>
      </c>
    </row>
    <row r="25" customFormat="false" ht="15" hidden="false" customHeight="false" outlineLevel="0" collapsed="false">
      <c r="A25" s="8" t="s">
        <v>26</v>
      </c>
      <c r="B25" s="8" t="s">
        <v>20</v>
      </c>
      <c r="C25" s="10" t="n">
        <f aca="false">IF(C23=0,0,C24/C23*100)</f>
        <v>0</v>
      </c>
      <c r="D25" s="10" t="n">
        <f aca="false">IF(D23=0,0,D24/D23*100)</f>
        <v>12.40764604811</v>
      </c>
      <c r="E25" s="10" t="n">
        <f aca="false">IF(E23=0,0,E24/E23*100)</f>
        <v>23.1492718446602</v>
      </c>
      <c r="F25" s="10" t="n">
        <f aca="false">IF(F23=0,0,F24/F23*100)</f>
        <v>31.5625</v>
      </c>
      <c r="G25" s="10" t="n">
        <f aca="false">IF(G23=0,0,G24/G23*100)</f>
        <v>36.1004273504274</v>
      </c>
      <c r="H25" s="10" t="n">
        <f aca="false">IF(H23=0,0,H24/H23*100)</f>
        <v>36.942581300813</v>
      </c>
      <c r="I25" s="10" t="n">
        <f aca="false">IF(I23=0,0,I24/I23*100)</f>
        <v>34.8973651960784</v>
      </c>
      <c r="J25" s="10" t="n">
        <f aca="false">IF(J23=0,0,J24/J23*100)</f>
        <v>29.0446908602151</v>
      </c>
      <c r="K25" s="10" t="n">
        <f aca="false">IF(K23=0,0,K24/K23*100)</f>
        <v>17.2226123595506</v>
      </c>
      <c r="L25" s="10" t="n">
        <f aca="false">IF(L23=0,0,L24/L23*100)</f>
        <v>0</v>
      </c>
    </row>
    <row r="28" customFormat="false" ht="15" hidden="true" customHeight="false" outlineLevel="0" collapsed="false">
      <c r="A28" s="11" t="s">
        <v>27</v>
      </c>
    </row>
    <row r="29" customFormat="false" ht="15" hidden="true" customHeight="false" outlineLevel="0" collapsed="false">
      <c r="B29" s="12" t="s">
        <v>28</v>
      </c>
      <c r="C29" s="13" t="n">
        <f aca="false">C17/1000</f>
        <v>4.45</v>
      </c>
      <c r="D29" s="13" t="n">
        <f aca="false">D17/1000</f>
        <v>4.85</v>
      </c>
      <c r="E29" s="13" t="n">
        <f aca="false">E17/1000</f>
        <v>5.15</v>
      </c>
      <c r="F29" s="13" t="n">
        <f aca="false">F17/1000</f>
        <v>5.45</v>
      </c>
      <c r="G29" s="13" t="n">
        <f aca="false">G17/1000</f>
        <v>5.85</v>
      </c>
      <c r="H29" s="13" t="n">
        <f aca="false">H17/1000</f>
        <v>6.15</v>
      </c>
      <c r="I29" s="13" t="n">
        <f aca="false">I17/1000</f>
        <v>6.8</v>
      </c>
      <c r="J29" s="13" t="n">
        <f aca="false">J17/1000</f>
        <v>7.75</v>
      </c>
      <c r="K29" s="13" t="n">
        <f aca="false">K17/1000</f>
        <v>8.9</v>
      </c>
      <c r="L29" s="13" t="n">
        <f aca="false">L17/1000</f>
        <v>10</v>
      </c>
    </row>
    <row r="30" customFormat="false" ht="15" hidden="true" customHeight="false" outlineLevel="0" collapsed="false">
      <c r="B30" s="12" t="s">
        <v>29</v>
      </c>
      <c r="C30" s="13" t="n">
        <f aca="false">C23/1000</f>
        <v>3.18128751219201</v>
      </c>
      <c r="D30" s="13" t="n">
        <f aca="false">D23/1000</f>
        <v>3.46724594025421</v>
      </c>
      <c r="E30" s="13" t="n">
        <f aca="false">E23/1000</f>
        <v>3.68171476130086</v>
      </c>
      <c r="F30" s="13" t="n">
        <f aca="false">F23/1000</f>
        <v>3.89618358234751</v>
      </c>
      <c r="G30" s="13" t="n">
        <f aca="false">G23/1000</f>
        <v>4.18214201040972</v>
      </c>
      <c r="H30" s="13" t="n">
        <f aca="false">H23/1000</f>
        <v>4.39661083145637</v>
      </c>
      <c r="I30" s="13" t="n">
        <f aca="false">I23/1000</f>
        <v>4.86129327705745</v>
      </c>
      <c r="J30" s="13" t="n">
        <f aca="false">J23/1000</f>
        <v>5.54044454370518</v>
      </c>
      <c r="K30" s="13" t="n">
        <f aca="false">K23/1000</f>
        <v>6.36257502438401</v>
      </c>
      <c r="L30" s="13" t="n">
        <f aca="false">L23/1000</f>
        <v>7.14896070155507</v>
      </c>
    </row>
  </sheetData>
  <mergeCells count="10">
    <mergeCell ref="A4:E4"/>
    <mergeCell ref="F4:I4"/>
    <mergeCell ref="A5:E5"/>
    <mergeCell ref="A6:E6"/>
    <mergeCell ref="A7:E7"/>
    <mergeCell ref="A8:E8"/>
    <mergeCell ref="A9:E9"/>
    <mergeCell ref="A12:B12"/>
    <mergeCell ref="A13:L13"/>
    <mergeCell ref="A19:L1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7" min="3" style="0" width="11"/>
  </cols>
  <sheetData>
    <row r="1" customFormat="false" ht="16.15" hidden="false" customHeight="false" outlineLevel="0" collapsed="false">
      <c r="A1" s="1" t="s">
        <v>30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31</v>
      </c>
      <c r="B4" s="3"/>
      <c r="C4" s="3"/>
      <c r="D4" s="3"/>
      <c r="E4" s="4" t="n">
        <v>2910</v>
      </c>
    </row>
    <row r="5" customFormat="false" ht="15" hidden="false" customHeight="false" outlineLevel="0" collapsed="false">
      <c r="A5" s="3" t="s">
        <v>32</v>
      </c>
      <c r="B5" s="3"/>
      <c r="C5" s="3"/>
      <c r="D5" s="3"/>
      <c r="E5" s="14" t="n">
        <f aca="false">(10+1.5*'Задание 1'!F5)*10^-6</f>
        <v>2.05E-005</v>
      </c>
    </row>
    <row r="6" customFormat="false" ht="15" hidden="false" customHeight="false" outlineLevel="0" collapsed="false">
      <c r="A6" s="3" t="s">
        <v>33</v>
      </c>
      <c r="B6" s="3"/>
      <c r="C6" s="3"/>
      <c r="D6" s="3"/>
      <c r="E6" s="10" t="n">
        <f aca="false">1000-15*1.5*'Задание 1'!F5</f>
        <v>842.5</v>
      </c>
    </row>
    <row r="7" customFormat="false" ht="15" hidden="false" customHeight="false" outlineLevel="0" collapsed="false">
      <c r="A7" s="3" t="s">
        <v>34</v>
      </c>
      <c r="B7" s="3"/>
      <c r="C7" s="3"/>
      <c r="D7" s="3"/>
      <c r="E7" s="4" t="n">
        <v>46</v>
      </c>
    </row>
    <row r="8" customFormat="false" ht="15" hidden="false" customHeight="false" outlineLevel="0" collapsed="false">
      <c r="A8" s="3" t="s">
        <v>35</v>
      </c>
      <c r="B8" s="3"/>
      <c r="C8" s="3"/>
      <c r="D8" s="3"/>
      <c r="E8" s="15" t="n">
        <f aca="false">E7/86400</f>
        <v>0.000532407407407407</v>
      </c>
    </row>
    <row r="10" customFormat="false" ht="15" hidden="false" customHeight="false" outlineLevel="0" collapsed="false">
      <c r="A10" s="2" t="s">
        <v>36</v>
      </c>
    </row>
    <row r="11" customFormat="false" ht="15" hidden="false" customHeight="true" outlineLevel="0" collapsed="false">
      <c r="A11" s="6" t="s">
        <v>37</v>
      </c>
      <c r="B11" s="6"/>
      <c r="C11" s="6" t="s">
        <v>38</v>
      </c>
      <c r="D11" s="6" t="s">
        <v>39</v>
      </c>
      <c r="E11" s="6" t="s">
        <v>40</v>
      </c>
      <c r="F11" s="6" t="s">
        <v>41</v>
      </c>
      <c r="G11" s="6" t="s">
        <v>42</v>
      </c>
    </row>
    <row r="12" customFormat="false" ht="15" hidden="false" customHeight="true" outlineLevel="0" collapsed="false">
      <c r="A12" s="7" t="s">
        <v>43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8" t="s">
        <v>44</v>
      </c>
      <c r="B13" s="8" t="s">
        <v>13</v>
      </c>
      <c r="C13" s="10" t="n">
        <f aca="false">0.6*$E$7</f>
        <v>27.6</v>
      </c>
      <c r="D13" s="10" t="n">
        <f aca="false">0.8*$E$7</f>
        <v>36.8</v>
      </c>
      <c r="E13" s="10" t="n">
        <f aca="false">1*$E$7</f>
        <v>46</v>
      </c>
      <c r="F13" s="10" t="n">
        <f aca="false">1.2*$E$7</f>
        <v>55.2</v>
      </c>
      <c r="G13" s="10" t="n">
        <f aca="false">1.4*$E$7</f>
        <v>64.4</v>
      </c>
    </row>
    <row r="14" customFormat="false" ht="15" hidden="false" customHeight="false" outlineLevel="0" collapsed="false">
      <c r="A14" s="8" t="s">
        <v>44</v>
      </c>
      <c r="B14" s="8" t="s">
        <v>14</v>
      </c>
      <c r="C14" s="9" t="n">
        <f aca="false">C13/86400*1000</f>
        <v>0.319444444444444</v>
      </c>
      <c r="D14" s="9" t="n">
        <f aca="false">D13/86400*1000</f>
        <v>0.425925925925926</v>
      </c>
      <c r="E14" s="9" t="n">
        <f aca="false">E13/86400*1000</f>
        <v>0.532407407407407</v>
      </c>
      <c r="F14" s="9" t="n">
        <f aca="false">F13/86400*1000</f>
        <v>0.638888888888889</v>
      </c>
      <c r="G14" s="9" t="n">
        <f aca="false">G13/86400*1000</f>
        <v>0.74537037037037</v>
      </c>
    </row>
    <row r="15" customFormat="false" ht="15" hidden="false" customHeight="false" outlineLevel="0" collapsed="false">
      <c r="A15" s="8" t="s">
        <v>45</v>
      </c>
      <c r="B15" s="8" t="s">
        <v>16</v>
      </c>
      <c r="C15" s="4" t="n">
        <v>510</v>
      </c>
      <c r="D15" s="4" t="n">
        <v>480</v>
      </c>
      <c r="E15" s="4" t="n">
        <v>435</v>
      </c>
      <c r="F15" s="4" t="n">
        <v>380</v>
      </c>
      <c r="G15" s="4" t="n">
        <v>310</v>
      </c>
    </row>
    <row r="16" customFormat="false" ht="15" hidden="false" customHeight="false" outlineLevel="0" collapsed="false">
      <c r="A16" s="8" t="s">
        <v>46</v>
      </c>
      <c r="B16" s="8" t="s">
        <v>47</v>
      </c>
      <c r="C16" s="5" t="n">
        <v>5.4</v>
      </c>
      <c r="D16" s="5" t="n">
        <v>5.75</v>
      </c>
      <c r="E16" s="5" t="n">
        <v>6.15</v>
      </c>
      <c r="F16" s="5" t="n">
        <v>6.8</v>
      </c>
      <c r="G16" s="5" t="n">
        <v>7.7</v>
      </c>
    </row>
    <row r="17" customFormat="false" ht="15" hidden="false" customHeight="false" outlineLevel="0" collapsed="false">
      <c r="A17" s="8" t="s">
        <v>48</v>
      </c>
      <c r="B17" s="8" t="s">
        <v>20</v>
      </c>
      <c r="C17" s="10" t="n">
        <v>29.5</v>
      </c>
      <c r="D17" s="10" t="n">
        <v>35</v>
      </c>
      <c r="E17" s="10" t="n">
        <v>37</v>
      </c>
      <c r="F17" s="10" t="n">
        <v>35</v>
      </c>
      <c r="G17" s="10" t="n">
        <v>29.5</v>
      </c>
    </row>
    <row r="18" customFormat="false" ht="15" hidden="false" customHeight="true" outlineLevel="0" collapsed="false">
      <c r="A18" s="7" t="s">
        <v>49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8" t="s">
        <v>50</v>
      </c>
      <c r="B19" s="8" t="s">
        <v>51</v>
      </c>
      <c r="C19" s="4" t="n">
        <f aca="false">(E8^2*E4)^(1/3)/E5</f>
        <v>4574.81140087021</v>
      </c>
      <c r="D19" s="4"/>
      <c r="E19" s="4"/>
      <c r="F19" s="4"/>
      <c r="G19" s="4"/>
    </row>
    <row r="20" customFormat="false" ht="15" hidden="false" customHeight="false" outlineLevel="0" collapsed="false">
      <c r="A20" s="8" t="s">
        <v>52</v>
      </c>
      <c r="B20" s="8" t="s">
        <v>51</v>
      </c>
      <c r="C20" s="5" t="n">
        <v>0.84</v>
      </c>
      <c r="D20" s="5"/>
      <c r="E20" s="5"/>
      <c r="F20" s="5"/>
      <c r="G20" s="5"/>
    </row>
    <row r="21" customFormat="false" ht="15" hidden="false" customHeight="false" outlineLevel="0" collapsed="false">
      <c r="A21" s="8" t="s">
        <v>53</v>
      </c>
      <c r="B21" s="8" t="s">
        <v>51</v>
      </c>
      <c r="C21" s="5" t="n">
        <v>0.94</v>
      </c>
      <c r="D21" s="5" t="n">
        <v>0.92</v>
      </c>
      <c r="E21" s="5" t="n">
        <v>0.9</v>
      </c>
      <c r="F21" s="5" t="n">
        <v>0.87</v>
      </c>
      <c r="G21" s="5" t="n">
        <v>0.83</v>
      </c>
    </row>
    <row r="22" customFormat="false" ht="15" hidden="false" customHeight="false" outlineLevel="0" collapsed="false">
      <c r="A22" s="8" t="s">
        <v>54</v>
      </c>
      <c r="B22" s="8" t="s">
        <v>51</v>
      </c>
      <c r="C22" s="5" t="n">
        <v>0.53</v>
      </c>
      <c r="D22" s="5"/>
      <c r="E22" s="5"/>
      <c r="F22" s="5"/>
      <c r="G22" s="5"/>
    </row>
    <row r="23" customFormat="false" ht="15" hidden="false" customHeight="true" outlineLevel="0" collapsed="false">
      <c r="A23" s="7" t="s">
        <v>55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8" t="s">
        <v>56</v>
      </c>
      <c r="B24" s="8" t="s">
        <v>13</v>
      </c>
      <c r="C24" s="10" t="n">
        <f aca="false">C13*$C$20</f>
        <v>23.184</v>
      </c>
      <c r="D24" s="10" t="n">
        <f aca="false">D13*$C$20</f>
        <v>30.912</v>
      </c>
      <c r="E24" s="10" t="n">
        <f aca="false">E13*$C$20</f>
        <v>38.64</v>
      </c>
      <c r="F24" s="10" t="n">
        <f aca="false">F13*$C$20</f>
        <v>46.368</v>
      </c>
      <c r="G24" s="10" t="n">
        <f aca="false">G13*$C$20</f>
        <v>54.096</v>
      </c>
    </row>
    <row r="25" customFormat="false" ht="15" hidden="false" customHeight="false" outlineLevel="0" collapsed="false">
      <c r="A25" s="8" t="s">
        <v>56</v>
      </c>
      <c r="B25" s="8" t="s">
        <v>14</v>
      </c>
      <c r="C25" s="9" t="n">
        <f aca="false">C14*$C$20</f>
        <v>0.268333333333333</v>
      </c>
      <c r="D25" s="9" t="n">
        <f aca="false">D14*$C$20</f>
        <v>0.357777777777778</v>
      </c>
      <c r="E25" s="9" t="n">
        <f aca="false">E14*$C$20</f>
        <v>0.447222222222222</v>
      </c>
      <c r="F25" s="9" t="n">
        <f aca="false">F14*$C$20</f>
        <v>0.536666666666667</v>
      </c>
      <c r="G25" s="9" t="n">
        <f aca="false">G14*$C$20</f>
        <v>0.626111111111111</v>
      </c>
    </row>
    <row r="26" customFormat="false" ht="15" hidden="false" customHeight="false" outlineLevel="0" collapsed="false">
      <c r="A26" s="8" t="s">
        <v>57</v>
      </c>
      <c r="B26" s="8" t="s">
        <v>16</v>
      </c>
      <c r="C26" s="4" t="n">
        <f aca="false">C15*C21</f>
        <v>479.4</v>
      </c>
      <c r="D26" s="4" t="n">
        <f aca="false">D15*D21</f>
        <v>441.6</v>
      </c>
      <c r="E26" s="4" t="n">
        <f aca="false">E15*E21</f>
        <v>391.5</v>
      </c>
      <c r="F26" s="4" t="n">
        <f aca="false">F15*F21</f>
        <v>330.6</v>
      </c>
      <c r="G26" s="4" t="n">
        <f aca="false">G15*G21</f>
        <v>257.3</v>
      </c>
    </row>
    <row r="27" customFormat="false" ht="15" hidden="false" customHeight="false" outlineLevel="0" collapsed="false">
      <c r="A27" s="8" t="s">
        <v>58</v>
      </c>
      <c r="B27" s="8" t="s">
        <v>47</v>
      </c>
      <c r="C27" s="5" t="n">
        <f aca="false">$E$6*9.81*C26*C25/1000/1000</f>
        <v>1.063191687075</v>
      </c>
      <c r="D27" s="5" t="n">
        <f aca="false">$E$6*9.81*D26*D25/1000/1000</f>
        <v>1.3058140704</v>
      </c>
      <c r="E27" s="5" t="n">
        <f aca="false">$E$6*9.81*E26*E25/1000/1000</f>
        <v>1.4470850559375</v>
      </c>
      <c r="F27" s="5" t="n">
        <f aca="false">$E$6*9.81*F26*F25/1000/1000</f>
        <v>1.46637952335</v>
      </c>
      <c r="G27" s="5" t="n">
        <f aca="false">$E$6*9.81*G26*G25/1000/1000</f>
        <v>1.3314661017875</v>
      </c>
    </row>
    <row r="28" customFormat="false" ht="15" hidden="false" customHeight="false" outlineLevel="0" collapsed="false">
      <c r="A28" s="8" t="s">
        <v>59</v>
      </c>
      <c r="B28" s="8" t="s">
        <v>47</v>
      </c>
      <c r="C28" s="5" t="n">
        <f aca="false">C27/(C29/100)</f>
        <v>6.80007474944036</v>
      </c>
      <c r="D28" s="5" t="n">
        <f aca="false">D27/(D29/100)</f>
        <v>7.0394289509434</v>
      </c>
      <c r="E28" s="5" t="n">
        <f aca="false">E27/(E29/100)</f>
        <v>7.37932205985467</v>
      </c>
      <c r="F28" s="5" t="n">
        <f aca="false">F27/(F29/100)</f>
        <v>7.90501090754717</v>
      </c>
      <c r="G28" s="5" t="n">
        <f aca="false">G27/(G29/100)</f>
        <v>8.51593285441318</v>
      </c>
    </row>
    <row r="29" customFormat="false" ht="15" hidden="false" customHeight="false" outlineLevel="0" collapsed="false">
      <c r="A29" s="8" t="s">
        <v>60</v>
      </c>
      <c r="B29" s="8" t="s">
        <v>20</v>
      </c>
      <c r="C29" s="10" t="n">
        <f aca="false">C17*$C$22</f>
        <v>15.635</v>
      </c>
      <c r="D29" s="10" t="n">
        <f aca="false">D17*$C$22</f>
        <v>18.55</v>
      </c>
      <c r="E29" s="10" t="n">
        <f aca="false">E17*$C$22</f>
        <v>19.61</v>
      </c>
      <c r="F29" s="10" t="n">
        <f aca="false">F17*$C$22</f>
        <v>18.55</v>
      </c>
      <c r="G29" s="10" t="n">
        <f aca="false">G17*$C$22</f>
        <v>15.635</v>
      </c>
    </row>
  </sheetData>
  <mergeCells count="12">
    <mergeCell ref="A4:D4"/>
    <mergeCell ref="A5:D5"/>
    <mergeCell ref="A6:D6"/>
    <mergeCell ref="A7:D7"/>
    <mergeCell ref="A8:D8"/>
    <mergeCell ref="A11:B11"/>
    <mergeCell ref="A12:G12"/>
    <mergeCell ref="A18:G18"/>
    <mergeCell ref="C19:G19"/>
    <mergeCell ref="C20:G20"/>
    <mergeCell ref="C22:G22"/>
    <mergeCell ref="A23:G2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2026-10-13T19:15:07Z</dcterms:created>
  <dc:creator>User</dc:creator>
  <dc:description/>
  <dc:language>en-US</dc:language>
  <cp:lastModifiedBy>User</cp:lastModifiedBy>
  <dcterms:modified xsi:type="dcterms:W3CDTF">2026-10-13T19:15:07Z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