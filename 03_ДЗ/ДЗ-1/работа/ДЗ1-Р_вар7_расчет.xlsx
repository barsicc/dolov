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сходные" sheetId="1" state="visible" r:id="rId1"/>
    <sheet name="Часть1_n" sheetId="2" state="visible" r:id="rId2"/>
    <sheet name="Часть2_вязкость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0E+00"/>
    <numFmt numFmtId="166" formatCode="0.00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4D6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0" fillId="2" borderId="0" pivotButton="0" quotePrefix="0" xfId="0"/>
    <xf numFmtId="0" fontId="1" fillId="0" borderId="0" pivotButton="0" quotePrefix="0" xfId="0"/>
    <xf numFmtId="164" fontId="0" fillId="2" borderId="1" pivotButton="0" quotePrefix="0" xfId="0"/>
    <xf numFmtId="165" fontId="0" fillId="0" borderId="1" pivotButton="0" quotePrefix="0" xfId="0"/>
    <xf numFmtId="164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2" fontId="0" fillId="2" borderId="1" pivotButton="0" quotePrefix="0" xfId="0"/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Напор H(Q)</a:t>
            </a:r>
          </a:p>
        </rich>
      </tx>
    </title>
    <plotArea>
      <scatterChart>
        <ser>
          <idx val="0"/>
          <order val="0"/>
          <tx>
            <v>«Старая», n = 2910 об/мин</v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circle"/>
            <size val="5"/>
            <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spPr>
          </marker>
          <xVal>
            <numRef>
              <f>'Часть1_n'!$B$3:$K$3</f>
            </numRef>
          </xVal>
          <yVal>
            <numRef>
              <f>'Часть1_n'!$B$5:$K$5</f>
            </numRef>
          </yVal>
          <smooth val="1"/>
        </ser>
        <ser>
          <idx val="1"/>
          <order val="1"/>
          <tx>
            <v>«Новая», n = 2602 об/мин</v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circle"/>
            <size val="5"/>
            <spPr>
              <a:solidFill>
                <a:srgbClr val="EB6834"/>
              </a:solidFill>
              <a:ln>
                <a:solidFill>
                  <a:srgbClr val="EB6834"/>
                </a:solidFill>
                <a:prstDash val="solid"/>
              </a:ln>
            </spPr>
          </marker>
          <xVal>
            <numRef>
              <f>'Часть1_n'!$B$9:$K$9</f>
            </numRef>
          </xVal>
          <yVal>
            <numRef>
              <f>'Часть1_n'!$B$11:$K$11</f>
            </numRef>
          </yVal>
          <smooth val="1"/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Q, м³/сут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H, м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Потребляемая мощность N(Q)</a:t>
            </a:r>
          </a:p>
        </rich>
      </tx>
    </title>
    <plotArea>
      <scatterChart>
        <ser>
          <idx val="0"/>
          <order val="0"/>
          <tx>
            <v>«Старая», n = 2910 об/мин</v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circle"/>
            <size val="5"/>
            <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spPr>
          </marker>
          <xVal>
            <numRef>
              <f>'Часть1_n'!$B$3:$K$3</f>
            </numRef>
          </xVal>
          <yVal>
            <numRef>
              <f>'Часть1_n'!$B$6:$K$6</f>
            </numRef>
          </yVal>
          <smooth val="1"/>
        </ser>
        <ser>
          <idx val="1"/>
          <order val="1"/>
          <tx>
            <v>«Новая», n = 2602 об/мин</v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circle"/>
            <size val="5"/>
            <spPr>
              <a:solidFill>
                <a:srgbClr val="EB6834"/>
              </a:solidFill>
              <a:ln>
                <a:solidFill>
                  <a:srgbClr val="EB6834"/>
                </a:solidFill>
                <a:prstDash val="solid"/>
              </a:ln>
            </spPr>
          </marker>
          <xVal>
            <numRef>
              <f>'Часть1_n'!$B$9:$K$9</f>
            </numRef>
          </xVal>
          <yVal>
            <numRef>
              <f>'Часть1_n'!$B$12:$K$12</f>
            </numRef>
          </yVal>
          <smooth val="1"/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Q, м³/сут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N, Вт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КПД η(Q)</a:t>
            </a:r>
          </a:p>
        </rich>
      </tx>
    </title>
    <plotArea>
      <scatterChart>
        <ser>
          <idx val="0"/>
          <order val="0"/>
          <tx>
            <v>«Старая», n = 2910 об/мин</v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circle"/>
            <size val="5"/>
            <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spPr>
          </marker>
          <xVal>
            <numRef>
              <f>'Часть1_n'!$B$3:$K$3</f>
            </numRef>
          </xVal>
          <yVal>
            <numRef>
              <f>'Часть1_n'!$B$7:$K$7</f>
            </numRef>
          </yVal>
          <smooth val="1"/>
        </ser>
        <ser>
          <idx val="1"/>
          <order val="1"/>
          <tx>
            <v>«Новая», n = 2602 об/мин</v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circle"/>
            <size val="5"/>
            <spPr>
              <a:solidFill>
                <a:srgbClr val="EB6834"/>
              </a:solidFill>
              <a:ln>
                <a:solidFill>
                  <a:srgbClr val="EB6834"/>
                </a:solidFill>
                <a:prstDash val="solid"/>
              </a:ln>
            </spPr>
          </marker>
          <xVal>
            <numRef>
              <f>'Часть1_n'!$B$9:$K$9</f>
            </numRef>
          </xVal>
          <yVal>
            <numRef>
              <f>'Часть1_n'!$B$14:$K$14</f>
            </numRef>
          </yVal>
          <smooth val="1"/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Q, м³/сут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η, 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Напор H(Q)</a:t>
            </a:r>
          </a:p>
        </rich>
      </tx>
    </title>
    <plotArea>
      <scatterChart>
        <ser>
          <idx val="0"/>
          <order val="0"/>
          <tx>
            <v>Вода, ν = 1·10⁻⁶ м²/с</v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circle"/>
            <size val="5"/>
            <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spPr>
          </marker>
          <xVal>
            <numRef>
              <f>'Часть2_вязкость'!$B$4:$G$4</f>
            </numRef>
          </xVal>
          <yVal>
            <numRef>
              <f>'Часть2_вязкость'!$B$6:$G$6</f>
            </numRef>
          </yVal>
          <smooth val="1"/>
        </ser>
        <ser>
          <idx val="1"/>
          <order val="1"/>
          <tx>
            <v>Вязкая, ν = 20,5·10⁻⁶ м²/с, ρ = 842,5</v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circle"/>
            <size val="5"/>
            <spPr>
              <a:solidFill>
                <a:srgbClr val="EB6834"/>
              </a:solidFill>
              <a:ln>
                <a:solidFill>
                  <a:srgbClr val="EB6834"/>
                </a:solidFill>
                <a:prstDash val="solid"/>
              </a:ln>
            </spPr>
          </marker>
          <xVal>
            <numRef>
              <f>'Часть2_вязкость'!$B$13:$G$13</f>
            </numRef>
          </xVal>
          <yVal>
            <numRef>
              <f>'Часть2_вязкость'!$B$15:$G$15</f>
            </numRef>
          </yVal>
          <smooth val="1"/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Q, м³/сут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H, м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Потребляемая мощность N(Q)</a:t>
            </a:r>
          </a:p>
        </rich>
      </tx>
    </title>
    <plotArea>
      <scatterChart>
        <ser>
          <idx val="0"/>
          <order val="0"/>
          <tx>
            <v>Вода, ν = 1·10⁻⁶ м²/с</v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circle"/>
            <size val="5"/>
            <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spPr>
          </marker>
          <xVal>
            <numRef>
              <f>'Часть2_вязкость'!$B$4:$G$4</f>
            </numRef>
          </xVal>
          <yVal>
            <numRef>
              <f>'Часть2_вязкость'!$B$7:$G$7</f>
            </numRef>
          </yVal>
          <smooth val="1"/>
        </ser>
        <ser>
          <idx val="1"/>
          <order val="1"/>
          <tx>
            <v>Вязкая, ν = 20,5·10⁻⁶ м²/с, ρ = 842,5</v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circle"/>
            <size val="5"/>
            <spPr>
              <a:solidFill>
                <a:srgbClr val="EB6834"/>
              </a:solidFill>
              <a:ln>
                <a:solidFill>
                  <a:srgbClr val="EB6834"/>
                </a:solidFill>
                <a:prstDash val="solid"/>
              </a:ln>
            </spPr>
          </marker>
          <xVal>
            <numRef>
              <f>'Часть2_вязкость'!$B$13:$G$13</f>
            </numRef>
          </xVal>
          <yVal>
            <numRef>
              <f>'Часть2_вязкость'!$B$17:$G$17</f>
            </numRef>
          </yVal>
          <smooth val="1"/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Q, м³/сут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N, кВт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КПД η(Q)</a:t>
            </a:r>
          </a:p>
        </rich>
      </tx>
    </title>
    <plotArea>
      <scatterChart>
        <ser>
          <idx val="0"/>
          <order val="0"/>
          <tx>
            <v>Вода, ν = 1·10⁻⁶ м²/с</v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circle"/>
            <size val="5"/>
            <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spPr>
          </marker>
          <xVal>
            <numRef>
              <f>'Часть2_вязкость'!$B$4:$G$4</f>
            </numRef>
          </xVal>
          <yVal>
            <numRef>
              <f>'Часть2_вязкость'!$B$8:$G$8</f>
            </numRef>
          </yVal>
          <smooth val="1"/>
        </ser>
        <ser>
          <idx val="1"/>
          <order val="1"/>
          <tx>
            <v>Вязкая, ν = 20,5·10⁻⁶ м²/с, ρ = 842,5</v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circle"/>
            <size val="5"/>
            <spPr>
              <a:solidFill>
                <a:srgbClr val="EB6834"/>
              </a:solidFill>
              <a:ln>
                <a:solidFill>
                  <a:srgbClr val="EB6834"/>
                </a:solidFill>
                <a:prstDash val="solid"/>
              </a:ln>
            </spPr>
          </marker>
          <xVal>
            <numRef>
              <f>'Часть2_вязкость'!$B$13:$G$13</f>
            </numRef>
          </xVal>
          <yVal>
            <numRef>
              <f>'Часть2_вязкость'!$B$18:$G$18</f>
            </numRef>
          </yVal>
          <smooth val="1"/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Q, м³/сут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η, 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Relationship Type="http://schemas.openxmlformats.org/officeDocument/2006/relationships/chart" Target="/xl/charts/chart6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46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16</row>
      <rowOff>0</rowOff>
    </from>
    <ext cx="468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16</row>
      <rowOff>0</rowOff>
    </from>
    <ext cx="46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20</row>
      <rowOff>0</rowOff>
    </from>
    <ext cx="46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20</row>
      <rowOff>0</rowOff>
    </from>
    <ext cx="468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20</row>
      <rowOff>0</rowOff>
    </from>
    <ext cx="46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45" customWidth="1" min="3" max="3"/>
  </cols>
  <sheetData>
    <row r="1">
      <c r="A1" t="inlineStr">
        <is>
          <t>Вариант (№ в журнале) N</t>
        </is>
      </c>
      <c r="B1" s="1" t="n">
        <v>7</v>
      </c>
      <c r="C1" t="inlineStr"/>
    </row>
    <row r="2">
      <c r="A2" t="inlineStr">
        <is>
          <t>Рисунок (Приложение)</t>
        </is>
      </c>
      <c r="B2" s="1" t="inlineStr">
        <is>
          <t>4.7</t>
        </is>
      </c>
      <c r="C2" t="inlineStr">
        <is>
          <t>АЛНАС 225(226)ЭЦНАКИ5-45(Тв), 100 ступеней</t>
        </is>
      </c>
    </row>
    <row r="3">
      <c r="A3" t="inlineStr">
        <is>
          <t>n по графику, об/мин</t>
        </is>
      </c>
      <c r="B3" s="1" t="n">
        <v>2910</v>
      </c>
      <c r="C3" t="inlineStr">
        <is>
          <t>50 Гц</t>
        </is>
      </c>
    </row>
    <row r="4">
      <c r="A4" t="inlineStr">
        <is>
          <t>Δn = −22·2·N, об/мин</t>
        </is>
      </c>
      <c r="B4">
        <f>-22*2*B1</f>
        <v/>
      </c>
      <c r="C4" t="inlineStr"/>
    </row>
    <row r="5">
      <c r="A5" t="inlineStr">
        <is>
          <t>n новая, об/мин</t>
        </is>
      </c>
      <c r="B5">
        <f>B3+B4</f>
        <v/>
      </c>
      <c r="C5" t="inlineStr"/>
    </row>
    <row r="6">
      <c r="A6" t="inlineStr">
        <is>
          <t>ν = (10+1,5N)·1e-6, м²/с</t>
        </is>
      </c>
      <c r="B6">
        <f>(10+1.5*B1)*1E-6</f>
        <v/>
      </c>
      <c r="C6" t="inlineStr"/>
    </row>
    <row r="7">
      <c r="A7" t="inlineStr">
        <is>
          <t>ρ = 1000−15·1,5·N, кг/м³</t>
        </is>
      </c>
      <c r="B7">
        <f>1000-15*1.5*B1</f>
        <v/>
      </c>
      <c r="C7" t="inlineStr"/>
    </row>
    <row r="8">
      <c r="A8" t="inlineStr">
        <is>
          <t>g, м/с²</t>
        </is>
      </c>
      <c r="B8" t="n">
        <v>9.81</v>
      </c>
      <c r="C8" t="inlineStr"/>
    </row>
    <row r="9">
      <c r="A9" t="inlineStr">
        <is>
          <t>Q0 (оптимальная подача на воде), м³/сут</t>
        </is>
      </c>
      <c r="B9" s="1" t="n">
        <v>46</v>
      </c>
      <c r="C9" t="inlineStr">
        <is>
          <t>максимум η ≈ 37 % по графику</t>
        </is>
      </c>
    </row>
    <row r="10">
      <c r="A10" t="inlineStr">
        <is>
          <t>Re = ∛(Q0²·n)/ν  (Q0 в м³/с, n в об/мин — как в подписи графика Ляпкова)</t>
        </is>
      </c>
      <c r="B10">
        <f>((B9/86400)^2*B3)^(1/3)/B6</f>
        <v/>
      </c>
      <c r="C10" t="inlineStr"/>
    </row>
    <row r="11">
      <c r="A11" t="inlineStr">
        <is>
          <t>Re по тексту методички (n в об/с) — для справки</t>
        </is>
      </c>
      <c r="B11">
        <f>((B9/86400)^2*B3/60)^(1/3)/B6</f>
        <v/>
      </c>
      <c r="C11" t="inlineStr"/>
    </row>
    <row r="13">
      <c r="A13" t="inlineStr">
        <is>
          <t>Жёлтые ячейки — ввод. Значения с графика сняты приблизительно (±1–2 % по H, ±0,1 кВт по N, ±0,5 % по η) — сверить со своим снятием.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28" customWidth="1" min="1" max="1"/>
  </cols>
  <sheetData>
    <row r="1">
      <c r="A1" s="2" t="inlineStr">
        <is>
          <t>Таблица 1. Сравнительная характеристика ЦН при n = 2910 и n новой</t>
        </is>
      </c>
    </row>
    <row r="2">
      <c r="A2" t="inlineStr">
        <is>
          <t>«Старая» — n = 2910 об/мин (строки 3–8); «Новая» — n = Исходные!B5 (строки 9–14)</t>
        </is>
      </c>
    </row>
    <row r="3">
      <c r="A3" s="2" t="inlineStr">
        <is>
          <t>Qс, м³/сут</t>
        </is>
      </c>
      <c r="B3" s="3" t="n">
        <v>0</v>
      </c>
      <c r="C3" s="3" t="n">
        <v>10</v>
      </c>
      <c r="D3" s="3" t="n">
        <v>20</v>
      </c>
      <c r="E3" s="3" t="n">
        <v>30</v>
      </c>
      <c r="F3" s="3" t="n">
        <v>40</v>
      </c>
      <c r="G3" s="3" t="n">
        <v>46</v>
      </c>
      <c r="H3" s="3" t="n">
        <v>55</v>
      </c>
      <c r="I3" s="3" t="n">
        <v>65</v>
      </c>
      <c r="J3" s="3" t="n">
        <v>75</v>
      </c>
      <c r="K3" s="3" t="n">
        <v>84</v>
      </c>
    </row>
    <row r="4">
      <c r="A4" s="2" t="inlineStr">
        <is>
          <t>Qс, м³/с</t>
        </is>
      </c>
      <c r="B4" s="4">
        <f>B3/86400</f>
        <v/>
      </c>
      <c r="C4" s="4">
        <f>C3/86400</f>
        <v/>
      </c>
      <c r="D4" s="4">
        <f>D3/86400</f>
        <v/>
      </c>
      <c r="E4" s="4">
        <f>E3/86400</f>
        <v/>
      </c>
      <c r="F4" s="4">
        <f>F3/86400</f>
        <v/>
      </c>
      <c r="G4" s="4">
        <f>G3/86400</f>
        <v/>
      </c>
      <c r="H4" s="4">
        <f>H3/86400</f>
        <v/>
      </c>
      <c r="I4" s="4">
        <f>I3/86400</f>
        <v/>
      </c>
      <c r="J4" s="4">
        <f>J3/86400</f>
        <v/>
      </c>
      <c r="K4" s="4">
        <f>K3/86400</f>
        <v/>
      </c>
    </row>
    <row r="5">
      <c r="A5" s="2" t="inlineStr">
        <is>
          <t>Hс, м</t>
        </is>
      </c>
      <c r="B5" s="3" t="n">
        <v>530</v>
      </c>
      <c r="C5" s="3" t="n">
        <v>529</v>
      </c>
      <c r="D5" s="3" t="n">
        <v>523</v>
      </c>
      <c r="E5" s="3" t="n">
        <v>502</v>
      </c>
      <c r="F5" s="3" t="n">
        <v>463</v>
      </c>
      <c r="G5" s="3" t="n">
        <v>433</v>
      </c>
      <c r="H5" s="3" t="n">
        <v>381</v>
      </c>
      <c r="I5" s="3" t="n">
        <v>300</v>
      </c>
      <c r="J5" s="3" t="n">
        <v>180</v>
      </c>
      <c r="K5" s="3" t="n">
        <v>0</v>
      </c>
    </row>
    <row r="6">
      <c r="A6" s="2" t="inlineStr">
        <is>
          <t>Nс, Вт</t>
        </is>
      </c>
      <c r="B6" s="3" t="n">
        <v>4370</v>
      </c>
      <c r="C6" s="3" t="n">
        <v>4760</v>
      </c>
      <c r="D6" s="3" t="n">
        <v>5050</v>
      </c>
      <c r="E6" s="3" t="n">
        <v>5390</v>
      </c>
      <c r="F6" s="3" t="n">
        <v>5830</v>
      </c>
      <c r="G6" s="3" t="n">
        <v>6116</v>
      </c>
      <c r="H6" s="3" t="n">
        <v>6750</v>
      </c>
      <c r="I6" s="3" t="n">
        <v>7620</v>
      </c>
      <c r="J6" s="3" t="n">
        <v>8790</v>
      </c>
      <c r="K6" s="3" t="n">
        <v>10000</v>
      </c>
    </row>
    <row r="7">
      <c r="A7" s="2" t="inlineStr">
        <is>
          <t>ηс, % (с графика)</t>
        </is>
      </c>
      <c r="B7" s="3" t="n">
        <v>0</v>
      </c>
      <c r="C7" s="3" t="n">
        <v>11.5</v>
      </c>
      <c r="D7" s="3" t="n">
        <v>23.1</v>
      </c>
      <c r="E7" s="3" t="n">
        <v>31.4</v>
      </c>
      <c r="F7" s="3" t="n">
        <v>36.2</v>
      </c>
      <c r="G7" s="3" t="n">
        <v>36.9</v>
      </c>
      <c r="H7" s="3" t="n">
        <v>35.2</v>
      </c>
      <c r="I7" s="3" t="n">
        <v>29.4</v>
      </c>
      <c r="J7" s="3" t="n">
        <v>17.3</v>
      </c>
      <c r="K7" s="3" t="n">
        <v>0</v>
      </c>
    </row>
    <row r="8">
      <c r="A8" s="2" t="inlineStr">
        <is>
          <t>ηс, % (проверка ρgHQ/N)</t>
        </is>
      </c>
      <c r="B8" s="5">
        <f>IF(B6=0,0,100*1000*Исходные!$B$8*B5*B4/B6)</f>
        <v/>
      </c>
      <c r="C8" s="5">
        <f>IF(C6=0,0,100*1000*Исходные!$B$8*C5*C4/C6)</f>
        <v/>
      </c>
      <c r="D8" s="5">
        <f>IF(D6=0,0,100*1000*Исходные!$B$8*D5*D4/D6)</f>
        <v/>
      </c>
      <c r="E8" s="5">
        <f>IF(E6=0,0,100*1000*Исходные!$B$8*E5*E4/E6)</f>
        <v/>
      </c>
      <c r="F8" s="5">
        <f>IF(F6=0,0,100*1000*Исходные!$B$8*F5*F4/F6)</f>
        <v/>
      </c>
      <c r="G8" s="5">
        <f>IF(G6=0,0,100*1000*Исходные!$B$8*G5*G4/G6)</f>
        <v/>
      </c>
      <c r="H8" s="5">
        <f>IF(H6=0,0,100*1000*Исходные!$B$8*H5*H4/H6)</f>
        <v/>
      </c>
      <c r="I8" s="5">
        <f>IF(I6=0,0,100*1000*Исходные!$B$8*I5*I4/I6)</f>
        <v/>
      </c>
      <c r="J8" s="5">
        <f>IF(J6=0,0,100*1000*Исходные!$B$8*J5*J4/J6)</f>
        <v/>
      </c>
      <c r="K8" s="5">
        <f>IF(K6=0,0,100*1000*Исходные!$B$8*K5*K4/K6)</f>
        <v/>
      </c>
    </row>
    <row r="9">
      <c r="A9" s="2" t="inlineStr">
        <is>
          <t>Qн, м³/сут</t>
        </is>
      </c>
      <c r="B9" s="5">
        <f>B3*Исходные!$B$5/Исходные!$B$3</f>
        <v/>
      </c>
      <c r="C9" s="5">
        <f>C3*Исходные!$B$5/Исходные!$B$3</f>
        <v/>
      </c>
      <c r="D9" s="5">
        <f>D3*Исходные!$B$5/Исходные!$B$3</f>
        <v/>
      </c>
      <c r="E9" s="5">
        <f>E3*Исходные!$B$5/Исходные!$B$3</f>
        <v/>
      </c>
      <c r="F9" s="5">
        <f>F3*Исходные!$B$5/Исходные!$B$3</f>
        <v/>
      </c>
      <c r="G9" s="5">
        <f>G3*Исходные!$B$5/Исходные!$B$3</f>
        <v/>
      </c>
      <c r="H9" s="5">
        <f>H3*Исходные!$B$5/Исходные!$B$3</f>
        <v/>
      </c>
      <c r="I9" s="5">
        <f>I3*Исходные!$B$5/Исходные!$B$3</f>
        <v/>
      </c>
      <c r="J9" s="5">
        <f>J3*Исходные!$B$5/Исходные!$B$3</f>
        <v/>
      </c>
      <c r="K9" s="5">
        <f>K3*Исходные!$B$5/Исходные!$B$3</f>
        <v/>
      </c>
    </row>
    <row r="10">
      <c r="A10" s="2" t="inlineStr">
        <is>
          <t>Qн, м³/с</t>
        </is>
      </c>
      <c r="B10" s="4">
        <f>B9/86400</f>
        <v/>
      </c>
      <c r="C10" s="4">
        <f>C9/86400</f>
        <v/>
      </c>
      <c r="D10" s="4">
        <f>D9/86400</f>
        <v/>
      </c>
      <c r="E10" s="4">
        <f>E9/86400</f>
        <v/>
      </c>
      <c r="F10" s="4">
        <f>F9/86400</f>
        <v/>
      </c>
      <c r="G10" s="4">
        <f>G9/86400</f>
        <v/>
      </c>
      <c r="H10" s="4">
        <f>H9/86400</f>
        <v/>
      </c>
      <c r="I10" s="4">
        <f>I9/86400</f>
        <v/>
      </c>
      <c r="J10" s="4">
        <f>J9/86400</f>
        <v/>
      </c>
      <c r="K10" s="4">
        <f>K9/86400</f>
        <v/>
      </c>
    </row>
    <row r="11">
      <c r="A11" s="2" t="inlineStr">
        <is>
          <t>Hн, м</t>
        </is>
      </c>
      <c r="B11" s="5">
        <f>B5*(Исходные!$B$5/Исходные!$B$3)^2</f>
        <v/>
      </c>
      <c r="C11" s="5">
        <f>C5*(Исходные!$B$5/Исходные!$B$3)^2</f>
        <v/>
      </c>
      <c r="D11" s="5">
        <f>D5*(Исходные!$B$5/Исходные!$B$3)^2</f>
        <v/>
      </c>
      <c r="E11" s="5">
        <f>E5*(Исходные!$B$5/Исходные!$B$3)^2</f>
        <v/>
      </c>
      <c r="F11" s="5">
        <f>F5*(Исходные!$B$5/Исходные!$B$3)^2</f>
        <v/>
      </c>
      <c r="G11" s="5">
        <f>G5*(Исходные!$B$5/Исходные!$B$3)^2</f>
        <v/>
      </c>
      <c r="H11" s="5">
        <f>H5*(Исходные!$B$5/Исходные!$B$3)^2</f>
        <v/>
      </c>
      <c r="I11" s="5">
        <f>I5*(Исходные!$B$5/Исходные!$B$3)^2</f>
        <v/>
      </c>
      <c r="J11" s="5">
        <f>J5*(Исходные!$B$5/Исходные!$B$3)^2</f>
        <v/>
      </c>
      <c r="K11" s="5">
        <f>K5*(Исходные!$B$5/Исходные!$B$3)^2</f>
        <v/>
      </c>
    </row>
    <row r="12">
      <c r="A12" s="2" t="inlineStr">
        <is>
          <t>Nн, Вт</t>
        </is>
      </c>
      <c r="B12" s="5">
        <f>B6*(Исходные!$B$5/Исходные!$B$3)^3</f>
        <v/>
      </c>
      <c r="C12" s="5">
        <f>C6*(Исходные!$B$5/Исходные!$B$3)^3</f>
        <v/>
      </c>
      <c r="D12" s="5">
        <f>D6*(Исходные!$B$5/Исходные!$B$3)^3</f>
        <v/>
      </c>
      <c r="E12" s="5">
        <f>E6*(Исходные!$B$5/Исходные!$B$3)^3</f>
        <v/>
      </c>
      <c r="F12" s="5">
        <f>F6*(Исходные!$B$5/Исходные!$B$3)^3</f>
        <v/>
      </c>
      <c r="G12" s="5">
        <f>G6*(Исходные!$B$5/Исходные!$B$3)^3</f>
        <v/>
      </c>
      <c r="H12" s="5">
        <f>H6*(Исходные!$B$5/Исходные!$B$3)^3</f>
        <v/>
      </c>
      <c r="I12" s="5">
        <f>I6*(Исходные!$B$5/Исходные!$B$3)^3</f>
        <v/>
      </c>
      <c r="J12" s="5">
        <f>J6*(Исходные!$B$5/Исходные!$B$3)^3</f>
        <v/>
      </c>
      <c r="K12" s="5">
        <f>K6*(Исходные!$B$5/Исходные!$B$3)^3</f>
        <v/>
      </c>
    </row>
    <row r="13">
      <c r="A13" s="2" t="inlineStr">
        <is>
          <t>Nп, Вт</t>
        </is>
      </c>
      <c r="B13" s="5">
        <f>1000*Исходные!$B$8*B11*B10</f>
        <v/>
      </c>
      <c r="C13" s="5">
        <f>1000*Исходные!$B$8*C11*C10</f>
        <v/>
      </c>
      <c r="D13" s="5">
        <f>1000*Исходные!$B$8*D11*D10</f>
        <v/>
      </c>
      <c r="E13" s="5">
        <f>1000*Исходные!$B$8*E11*E10</f>
        <v/>
      </c>
      <c r="F13" s="5">
        <f>1000*Исходные!$B$8*F11*F10</f>
        <v/>
      </c>
      <c r="G13" s="5">
        <f>1000*Исходные!$B$8*G11*G10</f>
        <v/>
      </c>
      <c r="H13" s="5">
        <f>1000*Исходные!$B$8*H11*H10</f>
        <v/>
      </c>
      <c r="I13" s="5">
        <f>1000*Исходные!$B$8*I11*I10</f>
        <v/>
      </c>
      <c r="J13" s="5">
        <f>1000*Исходные!$B$8*J11*J10</f>
        <v/>
      </c>
      <c r="K13" s="5">
        <f>1000*Исходные!$B$8*K11*K10</f>
        <v/>
      </c>
    </row>
    <row r="14">
      <c r="A14" s="2" t="inlineStr">
        <is>
          <t>ηн, %</t>
        </is>
      </c>
      <c r="B14" s="5">
        <f>IF(B12=0,0,100*B13/B12)</f>
        <v/>
      </c>
      <c r="C14" s="5">
        <f>IF(C12=0,0,100*C13/C12)</f>
        <v/>
      </c>
      <c r="D14" s="5">
        <f>IF(D12=0,0,100*D13/D12)</f>
        <v/>
      </c>
      <c r="E14" s="5">
        <f>IF(E12=0,0,100*E13/E12)</f>
        <v/>
      </c>
      <c r="F14" s="5">
        <f>IF(F12=0,0,100*F13/F12)</f>
        <v/>
      </c>
      <c r="G14" s="5">
        <f>IF(G12=0,0,100*G13/G12)</f>
        <v/>
      </c>
      <c r="H14" s="5">
        <f>IF(H12=0,0,100*H13/H12)</f>
        <v/>
      </c>
      <c r="I14" s="5">
        <f>IF(I12=0,0,100*I13/I12)</f>
        <v/>
      </c>
      <c r="J14" s="5">
        <f>IF(J12=0,0,100*J13/J12)</f>
        <v/>
      </c>
      <c r="K14" s="5">
        <f>IF(K12=0,0,100*K13/K12)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2" t="inlineStr">
        <is>
          <t>Таблица 2. Сравнительная характеристика ЦН при различных значениях вязкости</t>
        </is>
      </c>
    </row>
    <row r="2">
      <c r="A2" t="inlineStr">
        <is>
          <t>Вода ν = 1·10⁻⁶ м²/с, ρ = 1000 (строки 3–8); пересчётные параметры (9–12); вязкая жидкость ν, ρ — Исходные!B6, B7 (13–18). KQ, KH, Kη сняты с графика Ляпкова при Re ≈ 4575 (±0,02).</t>
        </is>
      </c>
    </row>
    <row r="3">
      <c r="A3" s="2" t="inlineStr">
        <is>
          <t>Режим, доля Q0</t>
        </is>
      </c>
      <c r="B3" s="6" t="n">
        <v>0.4</v>
      </c>
      <c r="C3" s="6" t="n">
        <v>0.6</v>
      </c>
      <c r="D3" s="6" t="n">
        <v>0.8</v>
      </c>
      <c r="E3" s="6" t="n">
        <v>1</v>
      </c>
      <c r="F3" s="6" t="n">
        <v>1.2</v>
      </c>
      <c r="G3" s="6" t="n">
        <v>1.4</v>
      </c>
    </row>
    <row r="4">
      <c r="A4" s="2" t="inlineStr">
        <is>
          <t>Qв, м³/сут</t>
        </is>
      </c>
      <c r="B4" s="6">
        <f>B3*Исходные!$B$9</f>
        <v/>
      </c>
      <c r="C4" s="6">
        <f>C3*Исходные!$B$9</f>
        <v/>
      </c>
      <c r="D4" s="6">
        <f>D3*Исходные!$B$9</f>
        <v/>
      </c>
      <c r="E4" s="6">
        <f>E3*Исходные!$B$9</f>
        <v/>
      </c>
      <c r="F4" s="6">
        <f>F3*Исходные!$B$9</f>
        <v/>
      </c>
      <c r="G4" s="6">
        <f>G3*Исходные!$B$9</f>
        <v/>
      </c>
    </row>
    <row r="5">
      <c r="A5" s="2" t="inlineStr">
        <is>
          <t>Qв, м³/с·10⁻³</t>
        </is>
      </c>
      <c r="B5" s="7">
        <f>B4/86400*1000</f>
        <v/>
      </c>
      <c r="C5" s="7">
        <f>C4/86400*1000</f>
        <v/>
      </c>
      <c r="D5" s="7">
        <f>D4/86400*1000</f>
        <v/>
      </c>
      <c r="E5" s="7">
        <f>E4/86400*1000</f>
        <v/>
      </c>
      <c r="F5" s="7">
        <f>F4/86400*1000</f>
        <v/>
      </c>
      <c r="G5" s="7">
        <f>G4/86400*1000</f>
        <v/>
      </c>
    </row>
    <row r="6">
      <c r="A6" s="2" t="inlineStr">
        <is>
          <t>Hв, м</t>
        </is>
      </c>
      <c r="B6" s="8" t="n">
        <v>524</v>
      </c>
      <c r="C6" s="8" t="n">
        <v>508</v>
      </c>
      <c r="D6" s="8" t="n">
        <v>476</v>
      </c>
      <c r="E6" s="8" t="n">
        <v>433</v>
      </c>
      <c r="F6" s="8" t="n">
        <v>380</v>
      </c>
      <c r="G6" s="8" t="n">
        <v>305</v>
      </c>
    </row>
    <row r="7">
      <c r="A7" s="2" t="inlineStr">
        <is>
          <t>Nв, кВт</t>
        </is>
      </c>
      <c r="B7" s="8" t="n">
        <v>5</v>
      </c>
      <c r="C7" s="8" t="n">
        <v>5.32</v>
      </c>
      <c r="D7" s="8" t="n">
        <v>5.67</v>
      </c>
      <c r="E7" s="8" t="n">
        <v>6.12</v>
      </c>
      <c r="F7" s="8" t="n">
        <v>6.77</v>
      </c>
      <c r="G7" s="8" t="n">
        <v>7.57</v>
      </c>
    </row>
    <row r="8">
      <c r="A8" s="2" t="inlineStr">
        <is>
          <t>ηв, %</t>
        </is>
      </c>
      <c r="B8" s="8" t="n">
        <v>21.5</v>
      </c>
      <c r="C8" s="8" t="n">
        <v>29.7</v>
      </c>
      <c r="D8" s="8" t="n">
        <v>35</v>
      </c>
      <c r="E8" s="8" t="n">
        <v>36.9</v>
      </c>
      <c r="F8" s="8" t="n">
        <v>35.1</v>
      </c>
      <c r="G8" s="8" t="n">
        <v>29.8</v>
      </c>
    </row>
    <row r="9">
      <c r="A9" s="2" t="inlineStr">
        <is>
          <t>Re</t>
        </is>
      </c>
      <c r="B9" s="9">
        <f>Исходные!$B$10</f>
        <v/>
      </c>
      <c r="C9" s="9">
        <f>Исходные!$B$10</f>
        <v/>
      </c>
      <c r="D9" s="9">
        <f>Исходные!$B$10</f>
        <v/>
      </c>
      <c r="E9" s="9">
        <f>Исходные!$B$10</f>
        <v/>
      </c>
      <c r="F9" s="9">
        <f>Исходные!$B$10</f>
        <v/>
      </c>
      <c r="G9" s="9">
        <f>Исходные!$B$10</f>
        <v/>
      </c>
    </row>
    <row r="10">
      <c r="A10" s="2" t="inlineStr">
        <is>
          <t>KQ</t>
        </is>
      </c>
      <c r="B10" s="8" t="n">
        <v>0.82</v>
      </c>
      <c r="C10" s="8" t="n">
        <v>0.82</v>
      </c>
      <c r="D10" s="8" t="n">
        <v>0.82</v>
      </c>
      <c r="E10" s="8" t="n">
        <v>0.82</v>
      </c>
      <c r="F10" s="8" t="n">
        <v>0.82</v>
      </c>
      <c r="G10" s="8" t="n">
        <v>0.82</v>
      </c>
    </row>
    <row r="11">
      <c r="A11" s="2" t="inlineStr">
        <is>
          <t>KH</t>
        </is>
      </c>
      <c r="B11" s="8" t="n">
        <v>0.95</v>
      </c>
      <c r="C11" s="8" t="n">
        <v>0.93</v>
      </c>
      <c r="D11" s="8" t="n">
        <v>0.9</v>
      </c>
      <c r="E11" s="8" t="n">
        <v>0.88</v>
      </c>
      <c r="F11" s="8" t="n">
        <v>0.85</v>
      </c>
      <c r="G11" s="8" t="n">
        <v>0.82</v>
      </c>
    </row>
    <row r="12">
      <c r="A12" s="2" t="inlineStr">
        <is>
          <t>Kη</t>
        </is>
      </c>
      <c r="B12" s="8" t="n">
        <v>0.52</v>
      </c>
      <c r="C12" s="8" t="n">
        <v>0.52</v>
      </c>
      <c r="D12" s="8" t="n">
        <v>0.52</v>
      </c>
      <c r="E12" s="8" t="n">
        <v>0.52</v>
      </c>
      <c r="F12" s="8" t="n">
        <v>0.52</v>
      </c>
      <c r="G12" s="8" t="n">
        <v>0.52</v>
      </c>
    </row>
    <row r="13">
      <c r="A13" s="2" t="inlineStr">
        <is>
          <t>Qν, м³/сут</t>
        </is>
      </c>
      <c r="B13" s="6">
        <f>B10*B4</f>
        <v/>
      </c>
      <c r="C13" s="6">
        <f>C10*C4</f>
        <v/>
      </c>
      <c r="D13" s="6">
        <f>D10*D4</f>
        <v/>
      </c>
      <c r="E13" s="6">
        <f>E10*E4</f>
        <v/>
      </c>
      <c r="F13" s="6">
        <f>F10*F4</f>
        <v/>
      </c>
      <c r="G13" s="6">
        <f>G10*G4</f>
        <v/>
      </c>
    </row>
    <row r="14">
      <c r="A14" s="2" t="inlineStr">
        <is>
          <t>Qν, м³/с·10⁻³</t>
        </is>
      </c>
      <c r="B14" s="7">
        <f>B13/86400*1000</f>
        <v/>
      </c>
      <c r="C14" s="7">
        <f>C13/86400*1000</f>
        <v/>
      </c>
      <c r="D14" s="7">
        <f>D13/86400*1000</f>
        <v/>
      </c>
      <c r="E14" s="7">
        <f>E13/86400*1000</f>
        <v/>
      </c>
      <c r="F14" s="7">
        <f>F13/86400*1000</f>
        <v/>
      </c>
      <c r="G14" s="7">
        <f>G13/86400*1000</f>
        <v/>
      </c>
    </row>
    <row r="15">
      <c r="A15" s="2" t="inlineStr">
        <is>
          <t>Hν, м</t>
        </is>
      </c>
      <c r="B15" s="6">
        <f>B11*B6</f>
        <v/>
      </c>
      <c r="C15" s="6">
        <f>C11*C6</f>
        <v/>
      </c>
      <c r="D15" s="6">
        <f>D11*D6</f>
        <v/>
      </c>
      <c r="E15" s="6">
        <f>E11*E6</f>
        <v/>
      </c>
      <c r="F15" s="6">
        <f>F11*F6</f>
        <v/>
      </c>
      <c r="G15" s="6">
        <f>G11*G6</f>
        <v/>
      </c>
    </row>
    <row r="16">
      <c r="A16" s="2" t="inlineStr">
        <is>
          <t>Nпν, кВт</t>
        </is>
      </c>
      <c r="B16" s="7">
        <f>Исходные!$B$7*Исходные!$B$8*B15*B14/1000/1000</f>
        <v/>
      </c>
      <c r="C16" s="7">
        <f>Исходные!$B$7*Исходные!$B$8*C15*C14/1000/1000</f>
        <v/>
      </c>
      <c r="D16" s="7">
        <f>Исходные!$B$7*Исходные!$B$8*D15*D14/1000/1000</f>
        <v/>
      </c>
      <c r="E16" s="7">
        <f>Исходные!$B$7*Исходные!$B$8*E15*E14/1000/1000</f>
        <v/>
      </c>
      <c r="F16" s="7">
        <f>Исходные!$B$7*Исходные!$B$8*F15*F14/1000/1000</f>
        <v/>
      </c>
      <c r="G16" s="7">
        <f>Исходные!$B$7*Исходные!$B$8*G15*G14/1000/1000</f>
        <v/>
      </c>
    </row>
    <row r="17">
      <c r="A17" s="2" t="inlineStr">
        <is>
          <t>Nν, кВт</t>
        </is>
      </c>
      <c r="B17" s="7">
        <f>B16/(B18/100)</f>
        <v/>
      </c>
      <c r="C17" s="7">
        <f>C16/(C18/100)</f>
        <v/>
      </c>
      <c r="D17" s="7">
        <f>D16/(D18/100)</f>
        <v/>
      </c>
      <c r="E17" s="7">
        <f>E16/(E18/100)</f>
        <v/>
      </c>
      <c r="F17" s="7">
        <f>F16/(F18/100)</f>
        <v/>
      </c>
      <c r="G17" s="7">
        <f>G16/(G18/100)</f>
        <v/>
      </c>
    </row>
    <row r="18">
      <c r="A18" s="2" t="inlineStr">
        <is>
          <t>ην, %</t>
        </is>
      </c>
      <c r="B18" s="6">
        <f>B12*B8</f>
        <v/>
      </c>
      <c r="C18" s="6">
        <f>C12*C8</f>
        <v/>
      </c>
      <c r="D18" s="6">
        <f>D12*D8</f>
        <v/>
      </c>
      <c r="E18" s="6">
        <f>E12*E8</f>
        <v/>
      </c>
      <c r="F18" s="6">
        <f>F12*F8</f>
        <v/>
      </c>
      <c r="G18" s="6">
        <f>G12*G8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2026-10-09T21:37:07Z</dcterms:created>
  <dcterms:modified xsi:type="dcterms:W3CDTF">2026-10-09T21:37:07Z</dcterms:modified>
</cp:coreProperties>
</file>