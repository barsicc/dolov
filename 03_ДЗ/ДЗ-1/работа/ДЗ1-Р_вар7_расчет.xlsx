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дание 1" sheetId="1" state="visible" r:id="rId1"/>
    <sheet xmlns:r="http://schemas.openxmlformats.org/officeDocument/2006/relationships" name="Задание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"/>
    <numFmt numFmtId="165" formatCode="0.0"/>
    <numFmt numFmtId="166" formatCode="0.000000"/>
    <numFmt numFmtId="167" formatCode="0.000"/>
  </numFmts>
  <fonts count="6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sz val="11"/>
    </font>
    <font>
      <name val="Calibri"/>
      <sz val="11"/>
    </font>
    <font>
      <name val="Calibri"/>
      <i val="1"/>
      <color rgb="00808080"/>
      <sz val="9"/>
    </font>
    <font>
      <name val="Calibri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1" fontId="3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2" fontId="5" fillId="0" borderId="0" applyAlignment="1" pivotButton="0" quotePrefix="0" xfId="0">
      <alignment horizontal="center" vertical="center" wrapText="1"/>
    </xf>
    <xf numFmtId="11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200" b="1"/>
            </a:pPr>
            <a:r>
              <a:rPr sz="1200" b="1"/>
              <a:t>Рисунок 1. Характеристики насоса при n₁ = 2910 и n₂ = 2602 об/мин</a:t>
            </a:r>
          </a:p>
        </rich>
      </tx>
      <overlay val="0"/>
    </title>
    <plotArea>
      <scatterChart>
        <ser>
          <idx val="0"/>
          <order val="0"/>
          <tx>
            <v>H (n₁)</v>
          </tx>
          <spPr>
            <a:ln xmlns:a="http://schemas.openxmlformats.org/drawingml/2006/main" w="19050">
              <a:solidFill>
                <a:srgbClr val="1F4E79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solidFill>
                  <a:srgbClr val="1F4E79"/>
                </a:solidFill>
                <a:prstDash val="solid"/>
              </a:ln>
            </spPr>
          </marker>
          <xVal>
            <numRef>
              <f>'Задание 1'!$C$14:$L$14</f>
            </numRef>
          </xVal>
          <yVal>
            <numRef>
              <f>'Задание 1'!$C$16:$L$16</f>
            </numRef>
          </yVal>
          <smooth val="1"/>
        </ser>
        <ser>
          <idx val="1"/>
          <order val="1"/>
          <tx>
            <v>H (n₂)</v>
          </tx>
          <spPr>
            <a:ln xmlns:a="http://schemas.openxmlformats.org/drawingml/2006/main" w="19050">
              <a:solidFill>
                <a:srgbClr val="C55A11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marker>
          <xVal>
            <numRef>
              <f>'Задание 1'!$C$20:$L$20</f>
            </numRef>
          </xVal>
          <yVal>
            <numRef>
              <f>'Задание 1'!$C$22:$L$22</f>
            </numRef>
          </yVal>
          <smooth val="1"/>
        </ser>
        <axId val="10"/>
        <axId val="20"/>
      </scatterChart>
      <scatterChart>
        <ser>
          <idx val="2"/>
          <order val="2"/>
          <tx>
            <v>N (n₁)</v>
          </tx>
          <spPr>
            <a:ln xmlns:a="http://schemas.openxmlformats.org/drawingml/2006/main" w="19050">
              <a:solidFill>
                <a:srgbClr val="1F4E79"/>
              </a:solidFill>
              <a:prstDash val="dash"/>
            </a:ln>
          </spPr>
          <marker>
            <symbol val="circle"/>
            <size val="4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solidFill>
                  <a:srgbClr val="1F4E79"/>
                </a:solidFill>
                <a:prstDash val="solid"/>
              </a:ln>
            </spPr>
          </marker>
          <xVal>
            <numRef>
              <f>'Задание 1'!$C$14:$L$14</f>
            </numRef>
          </xVal>
          <yVal>
            <numRef>
              <f>'Задание 1'!$C$29:$L$29</f>
            </numRef>
          </yVal>
          <smooth val="1"/>
        </ser>
        <ser>
          <idx val="3"/>
          <order val="3"/>
          <tx>
            <v>N (n₂)</v>
          </tx>
          <spPr>
            <a:ln xmlns:a="http://schemas.openxmlformats.org/drawingml/2006/main" w="19050">
              <a:solidFill>
                <a:srgbClr val="C55A11"/>
              </a:solidFill>
              <a:prstDash val="dash"/>
            </a:ln>
          </spPr>
          <marker>
            <symbol val="circle"/>
            <size val="4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marker>
          <xVal>
            <numRef>
              <f>'Задание 1'!$C$20:$L$20</f>
            </numRef>
          </xVal>
          <yVal>
            <numRef>
              <f>'Задание 1'!$C$30:$L$30</f>
            </numRef>
          </yVal>
          <smooth val="1"/>
        </ser>
        <ser>
          <idx val="4"/>
          <order val="4"/>
          <tx>
            <v>η (n₁)</v>
          </tx>
          <spPr>
            <a:ln xmlns:a="http://schemas.openxmlformats.org/drawingml/2006/main" w="19050">
              <a:solidFill>
                <a:srgbClr val="1F4E79"/>
              </a:solidFill>
              <a:prstDash val="sysDot"/>
            </a:ln>
          </spPr>
          <marker>
            <symbol val="circle"/>
            <size val="4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solidFill>
                  <a:srgbClr val="1F4E79"/>
                </a:solidFill>
                <a:prstDash val="solid"/>
              </a:ln>
            </spPr>
          </marker>
          <xVal>
            <numRef>
              <f>'Задание 1'!$C$14:$L$14</f>
            </numRef>
          </xVal>
          <yVal>
            <numRef>
              <f>'Задание 1'!$C$18:$L$18</f>
            </numRef>
          </yVal>
          <smooth val="1"/>
        </ser>
        <ser>
          <idx val="5"/>
          <order val="5"/>
          <tx>
            <v>η (n₂)</v>
          </tx>
          <spPr>
            <a:ln xmlns:a="http://schemas.openxmlformats.org/drawingml/2006/main" w="19050">
              <a:solidFill>
                <a:srgbClr val="C55A11"/>
              </a:solidFill>
              <a:prstDash val="sysDot"/>
            </a:ln>
          </spPr>
          <marker>
            <symbol val="circle"/>
            <size val="4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marker>
          <xVal>
            <numRef>
              <f>'Задание 1'!$C$20:$L$20</f>
            </numRef>
          </xVal>
          <yVal>
            <numRef>
              <f>'Задание 1'!$C$25:$L$25</f>
            </numRef>
          </yVal>
          <smooth val="1"/>
        </ser>
        <axId val="500"/>
        <axId val="200"/>
      </scatterChart>
      <valAx>
        <axId val="10"/>
        <scaling>
          <orientation val="minMax"/>
          <max val="9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Q, м³/сут</a:t>
                </a:r>
              </a:p>
            </rich>
          </tx>
        </title>
        <numFmt formatCode="0" sourceLinked="0"/>
        <majorTickMark val="none"/>
        <minorTickMark val="none"/>
        <crossAx val="20"/>
        <majorUnit val="10"/>
      </valAx>
      <valAx>
        <axId val="20"/>
        <scaling>
          <orientation val="minMax"/>
          <max val="8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H, м</a:t>
                </a:r>
              </a:p>
            </rich>
          </tx>
        </title>
        <numFmt formatCode="0" sourceLinked="0"/>
        <majorTickMark val="none"/>
        <minorTickMark val="none"/>
        <crossAx val="10"/>
        <majorUnit val="100"/>
      </valAx>
      <valAx>
        <axId val="500"/>
        <scaling>
          <orientation val="minMax"/>
        </scaling>
        <delete val="1"/>
        <axPos val="l"/>
        <majorGridlines/>
        <majorTickMark val="none"/>
        <minorTickMark val="none"/>
        <crossAx val="200"/>
      </valAx>
      <valAx>
        <axId val="200"/>
        <scaling>
          <orientation val="minMax"/>
          <max val="40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η, %;   N, кВт</a:t>
                </a:r>
              </a:p>
            </rich>
          </tx>
        </title>
        <numFmt formatCode="0" sourceLinked="0"/>
        <majorTickMark val="none"/>
        <minorTickMark val="none"/>
        <crossAx val="500"/>
        <crosses val="max"/>
        <majorUnit val="5"/>
      </valAx>
    </plotArea>
    <legend>
      <legendPos val="b"/>
    </legend>
    <plotVisOnly val="0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200" b="1"/>
            </a:pPr>
            <a:r>
              <a:rPr sz="1200" b="1"/>
              <a:t>Рисунок 2. Характеристики насоса на воде и на вязкой жидкости</a:t>
            </a:r>
          </a:p>
        </rich>
      </tx>
      <overlay val="0"/>
    </title>
    <plotArea>
      <scatterChart>
        <ser>
          <idx val="0"/>
          <order val="0"/>
          <tx>
            <v>H (вода)</v>
          </tx>
          <spPr>
            <a:ln xmlns:a="http://schemas.openxmlformats.org/drawingml/2006/main" w="19050">
              <a:solidFill>
                <a:srgbClr val="1F4E79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solidFill>
                  <a:srgbClr val="1F4E79"/>
                </a:solidFill>
                <a:prstDash val="solid"/>
              </a:ln>
            </spPr>
          </marker>
          <xVal>
            <numRef>
              <f>'Задание 2'!$C$13:$G$13</f>
            </numRef>
          </xVal>
          <yVal>
            <numRef>
              <f>'Задание 2'!$C$15:$G$15</f>
            </numRef>
          </yVal>
          <smooth val="1"/>
        </ser>
        <ser>
          <idx val="1"/>
          <order val="1"/>
          <tx>
            <v>H (вязкая)</v>
          </tx>
          <spPr>
            <a:ln xmlns:a="http://schemas.openxmlformats.org/drawingml/2006/main" w="19050">
              <a:solidFill>
                <a:srgbClr val="C55A11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marker>
          <xVal>
            <numRef>
              <f>'Задание 2'!$C$24:$G$24</f>
            </numRef>
          </xVal>
          <yVal>
            <numRef>
              <f>'Задание 2'!$C$26:$G$26</f>
            </numRef>
          </yVal>
          <smooth val="1"/>
        </ser>
        <axId val="10"/>
        <axId val="20"/>
      </scatterChart>
      <scatterChart>
        <ser>
          <idx val="2"/>
          <order val="2"/>
          <tx>
            <v>N (вода)</v>
          </tx>
          <spPr>
            <a:ln xmlns:a="http://schemas.openxmlformats.org/drawingml/2006/main" w="19050">
              <a:solidFill>
                <a:srgbClr val="1F4E79"/>
              </a:solidFill>
              <a:prstDash val="dash"/>
            </a:ln>
          </spPr>
          <marker>
            <symbol val="circle"/>
            <size val="4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solidFill>
                  <a:srgbClr val="1F4E79"/>
                </a:solidFill>
                <a:prstDash val="solid"/>
              </a:ln>
            </spPr>
          </marker>
          <xVal>
            <numRef>
              <f>'Задание 2'!$C$13:$G$13</f>
            </numRef>
          </xVal>
          <yVal>
            <numRef>
              <f>'Задание 2'!$C$16:$G$16</f>
            </numRef>
          </yVal>
          <smooth val="1"/>
        </ser>
        <ser>
          <idx val="3"/>
          <order val="3"/>
          <tx>
            <v>N (вязкая)</v>
          </tx>
          <spPr>
            <a:ln xmlns:a="http://schemas.openxmlformats.org/drawingml/2006/main" w="19050">
              <a:solidFill>
                <a:srgbClr val="C55A11"/>
              </a:solidFill>
              <a:prstDash val="dash"/>
            </a:ln>
          </spPr>
          <marker>
            <symbol val="circle"/>
            <size val="4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marker>
          <xVal>
            <numRef>
              <f>'Задание 2'!$C$24:$G$24</f>
            </numRef>
          </xVal>
          <yVal>
            <numRef>
              <f>'Задание 2'!$C$28:$G$28</f>
            </numRef>
          </yVal>
          <smooth val="1"/>
        </ser>
        <ser>
          <idx val="4"/>
          <order val="4"/>
          <tx>
            <v>η (вода)</v>
          </tx>
          <spPr>
            <a:ln xmlns:a="http://schemas.openxmlformats.org/drawingml/2006/main" w="19050">
              <a:solidFill>
                <a:srgbClr val="1F4E79"/>
              </a:solidFill>
              <a:prstDash val="sysDot"/>
            </a:ln>
          </spPr>
          <marker>
            <symbol val="circle"/>
            <size val="4"/>
            <spPr>
              <a:solidFill xmlns:a="http://schemas.openxmlformats.org/drawingml/2006/main">
                <a:srgbClr val="1F4E79"/>
              </a:solidFill>
              <a:ln xmlns:a="http://schemas.openxmlformats.org/drawingml/2006/main">
                <a:solidFill>
                  <a:srgbClr val="1F4E79"/>
                </a:solidFill>
                <a:prstDash val="solid"/>
              </a:ln>
            </spPr>
          </marker>
          <xVal>
            <numRef>
              <f>'Задание 2'!$C$13:$G$13</f>
            </numRef>
          </xVal>
          <yVal>
            <numRef>
              <f>'Задание 2'!$C$17:$G$17</f>
            </numRef>
          </yVal>
          <smooth val="1"/>
        </ser>
        <ser>
          <idx val="5"/>
          <order val="5"/>
          <tx>
            <v>η (вязкая)</v>
          </tx>
          <spPr>
            <a:ln xmlns:a="http://schemas.openxmlformats.org/drawingml/2006/main" w="19050">
              <a:solidFill>
                <a:srgbClr val="C55A11"/>
              </a:solidFill>
              <a:prstDash val="sysDot"/>
            </a:ln>
          </spPr>
          <marker>
            <symbol val="circle"/>
            <size val="4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marker>
          <xVal>
            <numRef>
              <f>'Задание 2'!$C$24:$G$24</f>
            </numRef>
          </xVal>
          <yVal>
            <numRef>
              <f>'Задание 2'!$C$29:$G$29</f>
            </numRef>
          </yVal>
          <smooth val="1"/>
        </ser>
        <axId val="500"/>
        <axId val="200"/>
      </scatterChart>
      <valAx>
        <axId val="10"/>
        <scaling>
          <orientation val="minMax"/>
          <max val="70"/>
          <min val="2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Q, м³/сут</a:t>
                </a:r>
              </a:p>
            </rich>
          </tx>
        </title>
        <numFmt formatCode="0" sourceLinked="0"/>
        <majorTickMark val="none"/>
        <minorTickMark val="none"/>
        <crossAx val="20"/>
        <majorUnit val="10"/>
      </valAx>
      <valAx>
        <axId val="20"/>
        <scaling>
          <orientation val="minMax"/>
          <max val="8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H, м</a:t>
                </a:r>
              </a:p>
            </rich>
          </tx>
        </title>
        <numFmt formatCode="0" sourceLinked="0"/>
        <majorTickMark val="none"/>
        <minorTickMark val="none"/>
        <crossAx val="10"/>
        <majorUnit val="100"/>
      </valAx>
      <valAx>
        <axId val="500"/>
        <scaling>
          <orientation val="minMax"/>
        </scaling>
        <delete val="1"/>
        <axPos val="l"/>
        <majorGridlines/>
        <majorTickMark val="none"/>
        <minorTickMark val="none"/>
        <crossAx val="200"/>
      </valAx>
      <valAx>
        <axId val="200"/>
        <scaling>
          <orientation val="minMax"/>
          <max val="40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η, %;   N, кВт</a:t>
                </a:r>
              </a:p>
            </rich>
          </tx>
        </title>
        <numFmt formatCode="0" sourceLinked="0"/>
        <majorTickMark val="none"/>
        <minorTickMark val="none"/>
        <crossAx val="500"/>
        <crosses val="max"/>
        <majorUnit val="5"/>
      </valAx>
    </plotArea>
    <legend>
      <legendPos val="b"/>
    </legend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absoluteAnchor>
    <pos x="0" y="4953000"/>
    <ext cx="936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absoluteAnchor>
</wsDr>
</file>

<file path=xl/drawings/drawing2.xml><?xml version="1.0" encoding="utf-8"?>
<wsDr xmlns="http://schemas.openxmlformats.org/drawingml/2006/spreadsheetDrawing">
  <absoluteAnchor>
    <pos x="0" y="5905500"/>
    <ext cx="936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absolute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Задание 1. Пересчёт характеристики центробежного насоса при изменении частоты вращения вала</t>
        </is>
      </c>
    </row>
    <row r="3">
      <c r="A3" s="2" t="inlineStr">
        <is>
          <t>Исходные данные</t>
        </is>
      </c>
    </row>
    <row r="4">
      <c r="A4" s="3" t="inlineStr">
        <is>
          <t>Насос</t>
        </is>
      </c>
      <c r="B4" s="4" t="n"/>
      <c r="C4" s="4" t="n"/>
      <c r="D4" s="4" t="n"/>
      <c r="E4" s="4" t="n"/>
      <c r="F4" s="3" t="inlineStr">
        <is>
          <t>ЭЦНАКИ5-45, 100 ступеней (рис. 4.7)</t>
        </is>
      </c>
      <c r="G4" s="4" t="n"/>
      <c r="H4" s="4" t="n"/>
      <c r="I4" s="4" t="n"/>
    </row>
    <row r="5">
      <c r="A5" s="3" t="inlineStr">
        <is>
          <t>Номер варианта N</t>
        </is>
      </c>
      <c r="B5" s="4" t="n"/>
      <c r="C5" s="4" t="n"/>
      <c r="D5" s="4" t="n"/>
      <c r="E5" s="4" t="n"/>
      <c r="F5" s="5" t="n">
        <v>7</v>
      </c>
    </row>
    <row r="6">
      <c r="A6" s="3" t="inlineStr">
        <is>
          <t>Частота вращения по характеристике n₁, об/мин</t>
        </is>
      </c>
      <c r="B6" s="4" t="n"/>
      <c r="C6" s="4" t="n"/>
      <c r="D6" s="4" t="n"/>
      <c r="E6" s="4" t="n"/>
      <c r="F6" s="5" t="n">
        <v>2910</v>
      </c>
    </row>
    <row r="7">
      <c r="A7" s="3" t="inlineStr">
        <is>
          <t>Новая частота вращения n₂ = n₁ − 22·2·N, об/мин</t>
        </is>
      </c>
      <c r="B7" s="4" t="n"/>
      <c r="C7" s="4" t="n"/>
      <c r="D7" s="4" t="n"/>
      <c r="E7" s="4" t="n"/>
      <c r="F7" s="5">
        <f>F6-22*2*F5</f>
        <v/>
      </c>
    </row>
    <row r="8">
      <c r="A8" s="3" t="inlineStr">
        <is>
          <t>Плотность жидкости ρ, кг/м³</t>
        </is>
      </c>
      <c r="B8" s="4" t="n"/>
      <c r="C8" s="4" t="n"/>
      <c r="D8" s="4" t="n"/>
      <c r="E8" s="4" t="n"/>
      <c r="F8" s="5" t="n">
        <v>1000</v>
      </c>
    </row>
    <row r="9">
      <c r="A9" s="3" t="inlineStr">
        <is>
          <t>Ускорение свободного падения g, м/с²</t>
        </is>
      </c>
      <c r="B9" s="4" t="n"/>
      <c r="C9" s="4" t="n"/>
      <c r="D9" s="4" t="n"/>
      <c r="E9" s="4" t="n"/>
      <c r="F9" s="6" t="n">
        <v>9.81</v>
      </c>
    </row>
    <row r="11">
      <c r="A11" s="2" t="inlineStr">
        <is>
          <t>Таблица 1. Сравнительная характеристика центробежного насоса при различных значениях оборотов вала</t>
        </is>
      </c>
    </row>
    <row r="12">
      <c r="A12" s="7" t="inlineStr">
        <is>
          <t>Точка</t>
        </is>
      </c>
      <c r="B12" s="4" t="n"/>
      <c r="C12" s="7" t="n">
        <v>1</v>
      </c>
      <c r="D12" s="7" t="n">
        <v>2</v>
      </c>
      <c r="E12" s="7" t="n">
        <v>3</v>
      </c>
      <c r="F12" s="7" t="n">
        <v>4</v>
      </c>
      <c r="G12" s="7" t="n">
        <v>5</v>
      </c>
      <c r="H12" s="7" t="n">
        <v>6</v>
      </c>
      <c r="I12" s="7" t="n">
        <v>7</v>
      </c>
      <c r="J12" s="7" t="n">
        <v>8</v>
      </c>
      <c r="K12" s="7" t="n">
        <v>9</v>
      </c>
      <c r="L12" s="7" t="n">
        <v>10</v>
      </c>
    </row>
    <row r="13">
      <c r="A13" s="8" t="inlineStr">
        <is>
          <t>«Старая» характеристика при n₁ = 2910 об/мин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9" t="inlineStr">
        <is>
          <t>Подача Qс</t>
        </is>
      </c>
      <c r="B14" s="9" t="inlineStr">
        <is>
          <t>м³/сут</t>
        </is>
      </c>
      <c r="C14" s="5" t="n">
        <v>0</v>
      </c>
      <c r="D14" s="5" t="n">
        <v>10</v>
      </c>
      <c r="E14" s="5" t="n">
        <v>20</v>
      </c>
      <c r="F14" s="5" t="n">
        <v>30</v>
      </c>
      <c r="G14" s="5" t="n">
        <v>40</v>
      </c>
      <c r="H14" s="5" t="n">
        <v>46</v>
      </c>
      <c r="I14" s="5" t="n">
        <v>55</v>
      </c>
      <c r="J14" s="5" t="n">
        <v>65</v>
      </c>
      <c r="K14" s="5" t="n">
        <v>75</v>
      </c>
      <c r="L14" s="5" t="n">
        <v>84</v>
      </c>
    </row>
    <row r="15">
      <c r="A15" s="9" t="inlineStr">
        <is>
          <t>Подача Qс</t>
        </is>
      </c>
      <c r="B15" s="9" t="inlineStr">
        <is>
          <t>м³/с</t>
        </is>
      </c>
      <c r="C15" s="10">
        <f>C14/86400</f>
        <v/>
      </c>
      <c r="D15" s="10">
        <f>D14/86400</f>
        <v/>
      </c>
      <c r="E15" s="10">
        <f>E14/86400</f>
        <v/>
      </c>
      <c r="F15" s="10">
        <f>F14/86400</f>
        <v/>
      </c>
      <c r="G15" s="10">
        <f>G14/86400</f>
        <v/>
      </c>
      <c r="H15" s="10">
        <f>H14/86400</f>
        <v/>
      </c>
      <c r="I15" s="10">
        <f>I14/86400</f>
        <v/>
      </c>
      <c r="J15" s="10">
        <f>J14/86400</f>
        <v/>
      </c>
      <c r="K15" s="10">
        <f>K14/86400</f>
        <v/>
      </c>
      <c r="L15" s="10">
        <f>L14/86400</f>
        <v/>
      </c>
    </row>
    <row r="16">
      <c r="A16" s="9" t="inlineStr">
        <is>
          <t>Напор Hс</t>
        </is>
      </c>
      <c r="B16" s="9" t="inlineStr">
        <is>
          <t>м</t>
        </is>
      </c>
      <c r="C16" s="5" t="n">
        <v>530</v>
      </c>
      <c r="D16" s="5" t="n">
        <v>530</v>
      </c>
      <c r="E16" s="5" t="n">
        <v>525</v>
      </c>
      <c r="F16" s="5" t="n">
        <v>505</v>
      </c>
      <c r="G16" s="5" t="n">
        <v>465</v>
      </c>
      <c r="H16" s="5" t="n">
        <v>435</v>
      </c>
      <c r="I16" s="5" t="n">
        <v>380</v>
      </c>
      <c r="J16" s="5" t="n">
        <v>300</v>
      </c>
      <c r="K16" s="5" t="n">
        <v>180</v>
      </c>
      <c r="L16" s="5" t="n">
        <v>0</v>
      </c>
    </row>
    <row r="17">
      <c r="A17" s="9" t="inlineStr">
        <is>
          <t>Мощность Nс</t>
        </is>
      </c>
      <c r="B17" s="9" t="inlineStr">
        <is>
          <t>Вт</t>
        </is>
      </c>
      <c r="C17" s="5" t="n">
        <v>4450</v>
      </c>
      <c r="D17" s="5" t="n">
        <v>4850</v>
      </c>
      <c r="E17" s="5" t="n">
        <v>5150</v>
      </c>
      <c r="F17" s="5" t="n">
        <v>5450</v>
      </c>
      <c r="G17" s="5" t="n">
        <v>5850</v>
      </c>
      <c r="H17" s="5" t="n">
        <v>6150</v>
      </c>
      <c r="I17" s="5" t="n">
        <v>6800</v>
      </c>
      <c r="J17" s="5" t="n">
        <v>7750</v>
      </c>
      <c r="K17" s="5" t="n">
        <v>8900</v>
      </c>
      <c r="L17" s="5" t="n">
        <v>10000</v>
      </c>
    </row>
    <row r="18">
      <c r="A18" s="9" t="inlineStr">
        <is>
          <t>КПД ηс</t>
        </is>
      </c>
      <c r="B18" s="9" t="inlineStr">
        <is>
          <t>%</t>
        </is>
      </c>
      <c r="C18" s="11" t="n">
        <v>0</v>
      </c>
      <c r="D18" s="11" t="n">
        <v>12.5</v>
      </c>
      <c r="E18" s="11" t="n">
        <v>23</v>
      </c>
      <c r="F18" s="11" t="n">
        <v>31.5</v>
      </c>
      <c r="G18" s="11" t="n">
        <v>36</v>
      </c>
      <c r="H18" s="11" t="n">
        <v>37</v>
      </c>
      <c r="I18" s="11" t="n">
        <v>35</v>
      </c>
      <c r="J18" s="11" t="n">
        <v>29</v>
      </c>
      <c r="K18" s="11" t="n">
        <v>17</v>
      </c>
      <c r="L18" s="11" t="n">
        <v>0</v>
      </c>
    </row>
    <row r="19">
      <c r="A19" s="8" t="inlineStr">
        <is>
          <t>«Новая» характеристика при n₂ = 2602 об/мин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9" t="inlineStr">
        <is>
          <t>Подача Qн</t>
        </is>
      </c>
      <c r="B20" s="9" t="inlineStr">
        <is>
          <t>м³/сут</t>
        </is>
      </c>
      <c r="C20" s="11">
        <f>C14*$F$7/$F$6</f>
        <v/>
      </c>
      <c r="D20" s="11">
        <f>D14*$F$7/$F$6</f>
        <v/>
      </c>
      <c r="E20" s="11">
        <f>E14*$F$7/$F$6</f>
        <v/>
      </c>
      <c r="F20" s="11">
        <f>F14*$F$7/$F$6</f>
        <v/>
      </c>
      <c r="G20" s="11">
        <f>G14*$F$7/$F$6</f>
        <v/>
      </c>
      <c r="H20" s="11">
        <f>H14*$F$7/$F$6</f>
        <v/>
      </c>
      <c r="I20" s="11">
        <f>I14*$F$7/$F$6</f>
        <v/>
      </c>
      <c r="J20" s="11">
        <f>J14*$F$7/$F$6</f>
        <v/>
      </c>
      <c r="K20" s="11">
        <f>K14*$F$7/$F$6</f>
        <v/>
      </c>
      <c r="L20" s="11">
        <f>L14*$F$7/$F$6</f>
        <v/>
      </c>
    </row>
    <row r="21">
      <c r="A21" s="9" t="inlineStr">
        <is>
          <t>Подача Qн</t>
        </is>
      </c>
      <c r="B21" s="9" t="inlineStr">
        <is>
          <t>м³/с</t>
        </is>
      </c>
      <c r="C21" s="10">
        <f>C15*$F$7/$F$6</f>
        <v/>
      </c>
      <c r="D21" s="10">
        <f>D15*$F$7/$F$6</f>
        <v/>
      </c>
      <c r="E21" s="10">
        <f>E15*$F$7/$F$6</f>
        <v/>
      </c>
      <c r="F21" s="10">
        <f>F15*$F$7/$F$6</f>
        <v/>
      </c>
      <c r="G21" s="10">
        <f>G15*$F$7/$F$6</f>
        <v/>
      </c>
      <c r="H21" s="10">
        <f>H15*$F$7/$F$6</f>
        <v/>
      </c>
      <c r="I21" s="10">
        <f>I15*$F$7/$F$6</f>
        <v/>
      </c>
      <c r="J21" s="10">
        <f>J15*$F$7/$F$6</f>
        <v/>
      </c>
      <c r="K21" s="10">
        <f>K15*$F$7/$F$6</f>
        <v/>
      </c>
      <c r="L21" s="10">
        <f>L15*$F$7/$F$6</f>
        <v/>
      </c>
    </row>
    <row r="22">
      <c r="A22" s="9" t="inlineStr">
        <is>
          <t>Напор Hн</t>
        </is>
      </c>
      <c r="B22" s="9" t="inlineStr">
        <is>
          <t>м</t>
        </is>
      </c>
      <c r="C22" s="5">
        <f>C16*($F$7/$F$6)^2</f>
        <v/>
      </c>
      <c r="D22" s="5">
        <f>D16*($F$7/$F$6)^2</f>
        <v/>
      </c>
      <c r="E22" s="5">
        <f>E16*($F$7/$F$6)^2</f>
        <v/>
      </c>
      <c r="F22" s="5">
        <f>F16*($F$7/$F$6)^2</f>
        <v/>
      </c>
      <c r="G22" s="5">
        <f>G16*($F$7/$F$6)^2</f>
        <v/>
      </c>
      <c r="H22" s="5">
        <f>H16*($F$7/$F$6)^2</f>
        <v/>
      </c>
      <c r="I22" s="5">
        <f>I16*($F$7/$F$6)^2</f>
        <v/>
      </c>
      <c r="J22" s="5">
        <f>J16*($F$7/$F$6)^2</f>
        <v/>
      </c>
      <c r="K22" s="5">
        <f>K16*($F$7/$F$6)^2</f>
        <v/>
      </c>
      <c r="L22" s="5">
        <f>L16*($F$7/$F$6)^2</f>
        <v/>
      </c>
    </row>
    <row r="23">
      <c r="A23" s="9" t="inlineStr">
        <is>
          <t>Мощность Nн</t>
        </is>
      </c>
      <c r="B23" s="9" t="inlineStr">
        <is>
          <t>Вт</t>
        </is>
      </c>
      <c r="C23" s="5">
        <f>C17*($F$7/$F$6)^3</f>
        <v/>
      </c>
      <c r="D23" s="5">
        <f>D17*($F$7/$F$6)^3</f>
        <v/>
      </c>
      <c r="E23" s="5">
        <f>E17*($F$7/$F$6)^3</f>
        <v/>
      </c>
      <c r="F23" s="5">
        <f>F17*($F$7/$F$6)^3</f>
        <v/>
      </c>
      <c r="G23" s="5">
        <f>G17*($F$7/$F$6)^3</f>
        <v/>
      </c>
      <c r="H23" s="5">
        <f>H17*($F$7/$F$6)^3</f>
        <v/>
      </c>
      <c r="I23" s="5">
        <f>I17*($F$7/$F$6)^3</f>
        <v/>
      </c>
      <c r="J23" s="5">
        <f>J17*($F$7/$F$6)^3</f>
        <v/>
      </c>
      <c r="K23" s="5">
        <f>K17*($F$7/$F$6)^3</f>
        <v/>
      </c>
      <c r="L23" s="5">
        <f>L17*($F$7/$F$6)^3</f>
        <v/>
      </c>
    </row>
    <row r="24">
      <c r="A24" s="9" t="inlineStr">
        <is>
          <t>Полезная мощность Nп</t>
        </is>
      </c>
      <c r="B24" s="9" t="inlineStr">
        <is>
          <t>Вт</t>
        </is>
      </c>
      <c r="C24" s="5">
        <f>$F$8*$F$9*C22*C21</f>
        <v/>
      </c>
      <c r="D24" s="5">
        <f>$F$8*$F$9*D22*D21</f>
        <v/>
      </c>
      <c r="E24" s="5">
        <f>$F$8*$F$9*E22*E21</f>
        <v/>
      </c>
      <c r="F24" s="5">
        <f>$F$8*$F$9*F22*F21</f>
        <v/>
      </c>
      <c r="G24" s="5">
        <f>$F$8*$F$9*G22*G21</f>
        <v/>
      </c>
      <c r="H24" s="5">
        <f>$F$8*$F$9*H22*H21</f>
        <v/>
      </c>
      <c r="I24" s="5">
        <f>$F$8*$F$9*I22*I21</f>
        <v/>
      </c>
      <c r="J24" s="5">
        <f>$F$8*$F$9*J22*J21</f>
        <v/>
      </c>
      <c r="K24" s="5">
        <f>$F$8*$F$9*K22*K21</f>
        <v/>
      </c>
      <c r="L24" s="5">
        <f>$F$8*$F$9*L22*L21</f>
        <v/>
      </c>
    </row>
    <row r="25">
      <c r="A25" s="9" t="inlineStr">
        <is>
          <t>КПД ηн</t>
        </is>
      </c>
      <c r="B25" s="9" t="inlineStr">
        <is>
          <t>%</t>
        </is>
      </c>
      <c r="C25" s="11">
        <f>IF(C23=0,0,C24/C23*100)</f>
        <v/>
      </c>
      <c r="D25" s="11">
        <f>IF(D23=0,0,D24/D23*100)</f>
        <v/>
      </c>
      <c r="E25" s="11">
        <f>IF(E23=0,0,E24/E23*100)</f>
        <v/>
      </c>
      <c r="F25" s="11">
        <f>IF(F23=0,0,F24/F23*100)</f>
        <v/>
      </c>
      <c r="G25" s="11">
        <f>IF(G23=0,0,G24/G23*100)</f>
        <v/>
      </c>
      <c r="H25" s="11">
        <f>IF(H23=0,0,H24/H23*100)</f>
        <v/>
      </c>
      <c r="I25" s="11">
        <f>IF(I23=0,0,I24/I23*100)</f>
        <v/>
      </c>
      <c r="J25" s="11">
        <f>IF(J23=0,0,J24/J23*100)</f>
        <v/>
      </c>
      <c r="K25" s="11">
        <f>IF(K23=0,0,K24/K23*100)</f>
        <v/>
      </c>
      <c r="L25" s="11">
        <f>IF(L23=0,0,L24/L23*100)</f>
        <v/>
      </c>
    </row>
    <row r="28" hidden="1">
      <c r="A28" s="12" t="inlineStr">
        <is>
          <t>Для графика: мощность, кВт</t>
        </is>
      </c>
    </row>
    <row r="29" hidden="1">
      <c r="B29" s="13" t="inlineStr">
        <is>
          <t>n₁</t>
        </is>
      </c>
      <c r="C29" s="14">
        <f>C17/1000</f>
        <v/>
      </c>
      <c r="D29" s="14">
        <f>D17/1000</f>
        <v/>
      </c>
      <c r="E29" s="14">
        <f>E17/1000</f>
        <v/>
      </c>
      <c r="F29" s="14">
        <f>F17/1000</f>
        <v/>
      </c>
      <c r="G29" s="14">
        <f>G17/1000</f>
        <v/>
      </c>
      <c r="H29" s="14">
        <f>H17/1000</f>
        <v/>
      </c>
      <c r="I29" s="14">
        <f>I17/1000</f>
        <v/>
      </c>
      <c r="J29" s="14">
        <f>J17/1000</f>
        <v/>
      </c>
      <c r="K29" s="14">
        <f>K17/1000</f>
        <v/>
      </c>
      <c r="L29" s="14">
        <f>L17/1000</f>
        <v/>
      </c>
    </row>
    <row r="30" hidden="1">
      <c r="B30" s="13" t="inlineStr">
        <is>
          <t>n₂</t>
        </is>
      </c>
      <c r="C30" s="14">
        <f>C23/1000</f>
        <v/>
      </c>
      <c r="D30" s="14">
        <f>D23/1000</f>
        <v/>
      </c>
      <c r="E30" s="14">
        <f>E23/1000</f>
        <v/>
      </c>
      <c r="F30" s="14">
        <f>F23/1000</f>
        <v/>
      </c>
      <c r="G30" s="14">
        <f>G23/1000</f>
        <v/>
      </c>
      <c r="H30" s="14">
        <f>H23/1000</f>
        <v/>
      </c>
      <c r="I30" s="14">
        <f>I23/1000</f>
        <v/>
      </c>
      <c r="J30" s="14">
        <f>J23/1000</f>
        <v/>
      </c>
      <c r="K30" s="14">
        <f>K23/1000</f>
        <v/>
      </c>
      <c r="L30" s="14">
        <f>L23/1000</f>
        <v/>
      </c>
    </row>
  </sheetData>
  <mergeCells count="10">
    <mergeCell ref="A4:E4"/>
    <mergeCell ref="A19:L19"/>
    <mergeCell ref="A7:E7"/>
    <mergeCell ref="F4:I4"/>
    <mergeCell ref="A13:L13"/>
    <mergeCell ref="A5:E5"/>
    <mergeCell ref="A8:E8"/>
    <mergeCell ref="A6:E6"/>
    <mergeCell ref="A9:E9"/>
    <mergeCell ref="A12:B12"/>
  </mergeCells>
  <pageMargins left="0.4" right="0.4" top="0.5" bottom="0.5" header="0.5" footer="0.5"/>
  <pageSetup orientation="landscape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Задание 2. Пересчёт характеристики центробежного насоса при изменении свойств перекачиваемой жидкости</t>
        </is>
      </c>
    </row>
    <row r="3">
      <c r="A3" s="2" t="inlineStr">
        <is>
          <t>Исходные данные</t>
        </is>
      </c>
    </row>
    <row r="4">
      <c r="A4" s="3" t="inlineStr">
        <is>
          <t>Частота вращения n, об/мин</t>
        </is>
      </c>
      <c r="B4" s="4" t="n"/>
      <c r="C4" s="4" t="n"/>
      <c r="D4" s="4" t="n"/>
      <c r="E4" s="5" t="n">
        <v>2910</v>
      </c>
    </row>
    <row r="5">
      <c r="A5" s="3" t="inlineStr">
        <is>
          <t>Кинематическая вязкость ν = (10 + 1,5·N)·10⁻⁶, м²/с</t>
        </is>
      </c>
      <c r="B5" s="4" t="n"/>
      <c r="C5" s="4" t="n"/>
      <c r="D5" s="4" t="n"/>
      <c r="E5" s="15">
        <f>(10+1.5*'Задание 1'!F5)*10^-6</f>
        <v/>
      </c>
    </row>
    <row r="6">
      <c r="A6" s="3" t="inlineStr">
        <is>
          <t>Плотность жидкости ρ = 1000 − 15·1,5·N, кг/м³</t>
        </is>
      </c>
      <c r="B6" s="4" t="n"/>
      <c r="C6" s="4" t="n"/>
      <c r="D6" s="4" t="n"/>
      <c r="E6" s="11">
        <f>1000-15*1.5*'Задание 1'!F5</f>
        <v/>
      </c>
    </row>
    <row r="7">
      <c r="A7" s="3" t="inlineStr">
        <is>
          <t>Оптимальная подача на воде Q₀, м³/сут</t>
        </is>
      </c>
      <c r="B7" s="4" t="n"/>
      <c r="C7" s="4" t="n"/>
      <c r="D7" s="4" t="n"/>
      <c r="E7" s="5" t="n">
        <v>46</v>
      </c>
    </row>
    <row r="8">
      <c r="A8" s="3" t="inlineStr">
        <is>
          <t>Оптимальная подача на воде Q₀, м³/с</t>
        </is>
      </c>
      <c r="B8" s="4" t="n"/>
      <c r="C8" s="4" t="n"/>
      <c r="D8" s="4" t="n"/>
      <c r="E8" s="16">
        <f>E7/86400</f>
        <v/>
      </c>
    </row>
    <row r="10">
      <c r="A10" s="2" t="inlineStr">
        <is>
          <t>Таблица 2. Сравнительная характеристика центробежного насоса при различных значениях вязкости</t>
        </is>
      </c>
    </row>
    <row r="11">
      <c r="A11" s="7" t="inlineStr">
        <is>
          <t>Режим</t>
        </is>
      </c>
      <c r="B11" s="4" t="n"/>
      <c r="C11" s="7" t="inlineStr">
        <is>
          <t>0,6Q₀</t>
        </is>
      </c>
      <c r="D11" s="7" t="inlineStr">
        <is>
          <t>0,8Q₀</t>
        </is>
      </c>
      <c r="E11" s="7" t="inlineStr">
        <is>
          <t>Q₀</t>
        </is>
      </c>
      <c r="F11" s="7" t="inlineStr">
        <is>
          <t>1,2Q₀</t>
        </is>
      </c>
      <c r="G11" s="7" t="inlineStr">
        <is>
          <t>1,4Q₀</t>
        </is>
      </c>
    </row>
    <row r="12">
      <c r="A12" s="8" t="inlineStr">
        <is>
          <t>Стандартная характеристика при ν = 1·10⁻⁶ м²/с</t>
        </is>
      </c>
      <c r="B12" s="4" t="n"/>
      <c r="C12" s="4" t="n"/>
      <c r="D12" s="4" t="n"/>
      <c r="E12" s="4" t="n"/>
      <c r="F12" s="4" t="n"/>
      <c r="G12" s="4" t="n"/>
    </row>
    <row r="13">
      <c r="A13" s="9" t="inlineStr">
        <is>
          <t>Подача Qв</t>
        </is>
      </c>
      <c r="B13" s="9" t="inlineStr">
        <is>
          <t>м³/сут</t>
        </is>
      </c>
      <c r="C13" s="11">
        <f>0.6*$E$7</f>
        <v/>
      </c>
      <c r="D13" s="11">
        <f>0.8*$E$7</f>
        <v/>
      </c>
      <c r="E13" s="11">
        <f>1.0*$E$7</f>
        <v/>
      </c>
      <c r="F13" s="11">
        <f>1.2*$E$7</f>
        <v/>
      </c>
      <c r="G13" s="11">
        <f>1.4*$E$7</f>
        <v/>
      </c>
    </row>
    <row r="14">
      <c r="A14" s="9" t="inlineStr">
        <is>
          <t>Подача Qв</t>
        </is>
      </c>
      <c r="B14" s="9" t="inlineStr">
        <is>
          <t>м³/с·10⁻³</t>
        </is>
      </c>
      <c r="C14" s="17">
        <f>C13/86400*1000</f>
        <v/>
      </c>
      <c r="D14" s="17">
        <f>D13/86400*1000</f>
        <v/>
      </c>
      <c r="E14" s="17">
        <f>E13/86400*1000</f>
        <v/>
      </c>
      <c r="F14" s="17">
        <f>F13/86400*1000</f>
        <v/>
      </c>
      <c r="G14" s="17">
        <f>G13/86400*1000</f>
        <v/>
      </c>
    </row>
    <row r="15">
      <c r="A15" s="9" t="inlineStr">
        <is>
          <t>Напор Hв</t>
        </is>
      </c>
      <c r="B15" s="9" t="inlineStr">
        <is>
          <t>м</t>
        </is>
      </c>
      <c r="C15" s="5" t="n">
        <v>510</v>
      </c>
      <c r="D15" s="5" t="n">
        <v>480</v>
      </c>
      <c r="E15" s="5" t="n">
        <v>435</v>
      </c>
      <c r="F15" s="5" t="n">
        <v>380</v>
      </c>
      <c r="G15" s="5" t="n">
        <v>310</v>
      </c>
    </row>
    <row r="16">
      <c r="A16" s="9" t="inlineStr">
        <is>
          <t>Мощность Nв</t>
        </is>
      </c>
      <c r="B16" s="9" t="inlineStr">
        <is>
          <t>кВт</t>
        </is>
      </c>
      <c r="C16" s="6" t="n">
        <v>5.4</v>
      </c>
      <c r="D16" s="6" t="n">
        <v>5.75</v>
      </c>
      <c r="E16" s="6" t="n">
        <v>6.15</v>
      </c>
      <c r="F16" s="6" t="n">
        <v>6.8</v>
      </c>
      <c r="G16" s="6" t="n">
        <v>7.7</v>
      </c>
    </row>
    <row r="17">
      <c r="A17" s="9" t="inlineStr">
        <is>
          <t>КПД ηв</t>
        </is>
      </c>
      <c r="B17" s="9" t="inlineStr">
        <is>
          <t>%</t>
        </is>
      </c>
      <c r="C17" s="11" t="n">
        <v>29.5</v>
      </c>
      <c r="D17" s="11" t="n">
        <v>35</v>
      </c>
      <c r="E17" s="11" t="n">
        <v>37</v>
      </c>
      <c r="F17" s="11" t="n">
        <v>35</v>
      </c>
      <c r="G17" s="11" t="n">
        <v>29.5</v>
      </c>
    </row>
    <row r="18">
      <c r="A18" s="8" t="inlineStr">
        <is>
          <t>Пересчётные параметры</t>
        </is>
      </c>
      <c r="B18" s="4" t="n"/>
      <c r="C18" s="4" t="n"/>
      <c r="D18" s="4" t="n"/>
      <c r="E18" s="4" t="n"/>
      <c r="F18" s="4" t="n"/>
      <c r="G18" s="4" t="n"/>
    </row>
    <row r="19">
      <c r="A19" s="9" t="inlineStr">
        <is>
          <t>Число Рейнольдса Re</t>
        </is>
      </c>
      <c r="B19" s="9" t="inlineStr">
        <is>
          <t>—</t>
        </is>
      </c>
      <c r="C19" s="5">
        <f>(E8^2*E4)^(1/3)/E5</f>
        <v/>
      </c>
      <c r="D19" s="4" t="n"/>
      <c r="E19" s="4" t="n"/>
      <c r="F19" s="4" t="n"/>
      <c r="G19" s="4" t="n"/>
    </row>
    <row r="20">
      <c r="A20" s="9" t="inlineStr">
        <is>
          <t>Коэффициент kQ</t>
        </is>
      </c>
      <c r="B20" s="9" t="inlineStr">
        <is>
          <t>—</t>
        </is>
      </c>
      <c r="C20" s="6" t="n">
        <v>0.84</v>
      </c>
      <c r="D20" s="4" t="n"/>
      <c r="E20" s="4" t="n"/>
      <c r="F20" s="4" t="n"/>
      <c r="G20" s="4" t="n"/>
    </row>
    <row r="21">
      <c r="A21" s="9" t="inlineStr">
        <is>
          <t>Коэффициент kH</t>
        </is>
      </c>
      <c r="B21" s="9" t="inlineStr">
        <is>
          <t>—</t>
        </is>
      </c>
      <c r="C21" s="6" t="n">
        <v>0.9399999999999999</v>
      </c>
      <c r="D21" s="6" t="n">
        <v>0.92</v>
      </c>
      <c r="E21" s="6" t="n">
        <v>0.9</v>
      </c>
      <c r="F21" s="6" t="n">
        <v>0.87</v>
      </c>
      <c r="G21" s="6" t="n">
        <v>0.83</v>
      </c>
    </row>
    <row r="22">
      <c r="A22" s="9" t="inlineStr">
        <is>
          <t>Коэффициент kη</t>
        </is>
      </c>
      <c r="B22" s="9" t="inlineStr">
        <is>
          <t>—</t>
        </is>
      </c>
      <c r="C22" s="6" t="n">
        <v>0.53</v>
      </c>
      <c r="D22" s="4" t="n"/>
      <c r="E22" s="4" t="n"/>
      <c r="F22" s="4" t="n"/>
      <c r="G22" s="4" t="n"/>
    </row>
    <row r="23">
      <c r="A23" s="8" t="inlineStr">
        <is>
          <t>«Новая» характеристика при ν = 20,5·10⁻⁶ м²/с, ρ = 842,5 кг/м³</t>
        </is>
      </c>
      <c r="B23" s="4" t="n"/>
      <c r="C23" s="4" t="n"/>
      <c r="D23" s="4" t="n"/>
      <c r="E23" s="4" t="n"/>
      <c r="F23" s="4" t="n"/>
      <c r="G23" s="4" t="n"/>
    </row>
    <row r="24">
      <c r="A24" s="9" t="inlineStr">
        <is>
          <t>Подача Qν</t>
        </is>
      </c>
      <c r="B24" s="9" t="inlineStr">
        <is>
          <t>м³/сут</t>
        </is>
      </c>
      <c r="C24" s="11">
        <f>C13*$C$20</f>
        <v/>
      </c>
      <c r="D24" s="11">
        <f>D13*$C$20</f>
        <v/>
      </c>
      <c r="E24" s="11">
        <f>E13*$C$20</f>
        <v/>
      </c>
      <c r="F24" s="11">
        <f>F13*$C$20</f>
        <v/>
      </c>
      <c r="G24" s="11">
        <f>G13*$C$20</f>
        <v/>
      </c>
    </row>
    <row r="25">
      <c r="A25" s="9" t="inlineStr">
        <is>
          <t>Подача Qν</t>
        </is>
      </c>
      <c r="B25" s="9" t="inlineStr">
        <is>
          <t>м³/с·10⁻³</t>
        </is>
      </c>
      <c r="C25" s="17">
        <f>C14*$C$20</f>
        <v/>
      </c>
      <c r="D25" s="17">
        <f>D14*$C$20</f>
        <v/>
      </c>
      <c r="E25" s="17">
        <f>E14*$C$20</f>
        <v/>
      </c>
      <c r="F25" s="17">
        <f>F14*$C$20</f>
        <v/>
      </c>
      <c r="G25" s="17">
        <f>G14*$C$20</f>
        <v/>
      </c>
    </row>
    <row r="26">
      <c r="A26" s="9" t="inlineStr">
        <is>
          <t>Напор Hν</t>
        </is>
      </c>
      <c r="B26" s="9" t="inlineStr">
        <is>
          <t>м</t>
        </is>
      </c>
      <c r="C26" s="5">
        <f>C15*C21</f>
        <v/>
      </c>
      <c r="D26" s="5">
        <f>D15*D21</f>
        <v/>
      </c>
      <c r="E26" s="5">
        <f>E15*E21</f>
        <v/>
      </c>
      <c r="F26" s="5">
        <f>F15*F21</f>
        <v/>
      </c>
      <c r="G26" s="5">
        <f>G15*G21</f>
        <v/>
      </c>
    </row>
    <row r="27">
      <c r="A27" s="9" t="inlineStr">
        <is>
          <t>Полезная мощность Nпν</t>
        </is>
      </c>
      <c r="B27" s="9" t="inlineStr">
        <is>
          <t>кВт</t>
        </is>
      </c>
      <c r="C27" s="6">
        <f>$E$6*9.81*C26*C25/1000/1000</f>
        <v/>
      </c>
      <c r="D27" s="6">
        <f>$E$6*9.81*D26*D25/1000/1000</f>
        <v/>
      </c>
      <c r="E27" s="6">
        <f>$E$6*9.81*E26*E25/1000/1000</f>
        <v/>
      </c>
      <c r="F27" s="6">
        <f>$E$6*9.81*F26*F25/1000/1000</f>
        <v/>
      </c>
      <c r="G27" s="6">
        <f>$E$6*9.81*G26*G25/1000/1000</f>
        <v/>
      </c>
    </row>
    <row r="28">
      <c r="A28" s="9" t="inlineStr">
        <is>
          <t>Мощность Nν</t>
        </is>
      </c>
      <c r="B28" s="9" t="inlineStr">
        <is>
          <t>кВт</t>
        </is>
      </c>
      <c r="C28" s="6">
        <f>C27/(C29/100)</f>
        <v/>
      </c>
      <c r="D28" s="6">
        <f>D27/(D29/100)</f>
        <v/>
      </c>
      <c r="E28" s="6">
        <f>E27/(E29/100)</f>
        <v/>
      </c>
      <c r="F28" s="6">
        <f>F27/(F29/100)</f>
        <v/>
      </c>
      <c r="G28" s="6">
        <f>G27/(G29/100)</f>
        <v/>
      </c>
    </row>
    <row r="29">
      <c r="A29" s="9" t="inlineStr">
        <is>
          <t>КПД ην</t>
        </is>
      </c>
      <c r="B29" s="9" t="inlineStr">
        <is>
          <t>%</t>
        </is>
      </c>
      <c r="C29" s="11">
        <f>C17*$C$22</f>
        <v/>
      </c>
      <c r="D29" s="11">
        <f>D17*$C$22</f>
        <v/>
      </c>
      <c r="E29" s="11">
        <f>E17*$C$22</f>
        <v/>
      </c>
      <c r="F29" s="11">
        <f>F17*$C$22</f>
        <v/>
      </c>
      <c r="G29" s="11">
        <f>G17*$C$22</f>
        <v/>
      </c>
    </row>
  </sheetData>
  <mergeCells count="12">
    <mergeCell ref="A5:D5"/>
    <mergeCell ref="A8:D8"/>
    <mergeCell ref="C20:G20"/>
    <mergeCell ref="A6:D6"/>
    <mergeCell ref="A18:G18"/>
    <mergeCell ref="A4:D4"/>
    <mergeCell ref="A11:B11"/>
    <mergeCell ref="A12:G12"/>
    <mergeCell ref="A7:D7"/>
    <mergeCell ref="C19:G19"/>
    <mergeCell ref="C22:G22"/>
    <mergeCell ref="A23:G23"/>
  </mergeCells>
  <pageMargins left="0.4" right="0.4" top="0.5" bottom="0.5" header="0.5" footer="0.5"/>
  <pageSetup orientation="landscape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2026-10-13T08:11:22Z</dcterms:created>
  <dcterms:modified xmlns:dcterms="http://purl.org/dc/terms/" xmlns:xsi="http://www.w3.org/2001/XMLSchema-instance" xsi:type="dcterms:W3CDTF">2026-10-13T08:11:22Z</dcterms:modified>
</cp:coreProperties>
</file>