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7 семестр\гидромаш\дз1\"/>
    </mc:Choice>
  </mc:AlternateContent>
  <xr:revisionPtr revIDLastSave="0" documentId="13_ncr:1_{BE8A9282-9F35-4982-A2C5-CFF7203719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дание1" sheetId="1" r:id="rId1"/>
    <sheet name="задание 2" sheetId="2" r:id="rId2"/>
  </sheets>
  <calcPr calcId="181029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D12" i="2"/>
  <c r="E12" i="2"/>
  <c r="F12" i="2"/>
  <c r="G12" i="2"/>
  <c r="H12" i="2"/>
  <c r="C12" i="2"/>
  <c r="D14" i="2"/>
  <c r="E14" i="2"/>
  <c r="F14" i="2"/>
  <c r="G14" i="2"/>
  <c r="H14" i="2"/>
  <c r="C14" i="2"/>
  <c r="D11" i="2"/>
  <c r="E11" i="2"/>
  <c r="F11" i="2"/>
  <c r="G11" i="2"/>
  <c r="H11" i="2"/>
  <c r="C11" i="2"/>
  <c r="C13" i="2" s="1"/>
  <c r="D10" i="2"/>
  <c r="E10" i="2"/>
  <c r="F10" i="2"/>
  <c r="G10" i="2"/>
  <c r="H10" i="2"/>
  <c r="C10" i="2"/>
  <c r="C6" i="2"/>
  <c r="A15" i="2"/>
  <c r="H2" i="2"/>
  <c r="G2" i="2"/>
  <c r="E2" i="2"/>
  <c r="D2" i="2"/>
  <c r="C2" i="2"/>
  <c r="E16" i="1"/>
  <c r="F16" i="1"/>
  <c r="G16" i="1"/>
  <c r="H16" i="1"/>
  <c r="I16" i="1"/>
  <c r="C16" i="1"/>
  <c r="D17" i="1"/>
  <c r="E17" i="1"/>
  <c r="F17" i="1"/>
  <c r="G17" i="1"/>
  <c r="H17" i="1"/>
  <c r="I17" i="1"/>
  <c r="C17" i="1"/>
  <c r="I15" i="1"/>
  <c r="D15" i="1"/>
  <c r="E15" i="1"/>
  <c r="F15" i="1"/>
  <c r="G15" i="1"/>
  <c r="H15" i="1"/>
  <c r="C15" i="1"/>
  <c r="D14" i="1"/>
  <c r="E14" i="1"/>
  <c r="F14" i="1"/>
  <c r="G14" i="1"/>
  <c r="H14" i="1"/>
  <c r="I14" i="1"/>
  <c r="C14" i="1"/>
  <c r="D13" i="1"/>
  <c r="E13" i="1"/>
  <c r="F13" i="1"/>
  <c r="G13" i="1"/>
  <c r="H13" i="1"/>
  <c r="I13" i="1"/>
  <c r="C13" i="1"/>
  <c r="H9" i="1"/>
  <c r="F9" i="1"/>
  <c r="E9" i="1"/>
  <c r="D9" i="1"/>
  <c r="A13" i="1"/>
  <c r="H13" i="2" l="1"/>
  <c r="G13" i="2"/>
  <c r="F13" i="2"/>
  <c r="E13" i="2"/>
  <c r="D13" i="2"/>
</calcChain>
</file>

<file path=xl/sharedStrings.xml><?xml version="1.0" encoding="utf-8"?>
<sst xmlns="http://schemas.openxmlformats.org/spreadsheetml/2006/main" count="25" uniqueCount="25">
  <si>
    <t>Нс, м</t>
  </si>
  <si>
    <t>Nс, Вт</t>
  </si>
  <si>
    <r>
      <t>η</t>
    </r>
    <r>
      <rPr>
        <sz val="7.7"/>
        <color theme="1"/>
        <rFont val="Calibri"/>
        <family val="2"/>
      </rPr>
      <t>с, %</t>
    </r>
  </si>
  <si>
    <t>Нн, м</t>
  </si>
  <si>
    <t>Nн, Вт</t>
  </si>
  <si>
    <r>
      <t>ηн</t>
    </r>
    <r>
      <rPr>
        <sz val="7.7"/>
        <color theme="1"/>
        <rFont val="Calibri"/>
        <family val="2"/>
      </rPr>
      <t>, %</t>
    </r>
  </si>
  <si>
    <t>Qс, м^3/сут</t>
  </si>
  <si>
    <t>Nп</t>
  </si>
  <si>
    <t>Qн, м^3/сут</t>
  </si>
  <si>
    <t>Qв, м^3/сут</t>
  </si>
  <si>
    <t>Нв, м</t>
  </si>
  <si>
    <t>Nв, кВт</t>
  </si>
  <si>
    <r>
      <t>ηв</t>
    </r>
    <r>
      <rPr>
        <sz val="7.7"/>
        <color theme="1"/>
        <rFont val="Calibri"/>
        <family val="2"/>
      </rPr>
      <t>, %</t>
    </r>
  </si>
  <si>
    <t>Re</t>
  </si>
  <si>
    <t>Kq</t>
  </si>
  <si>
    <t>Kh</t>
  </si>
  <si>
    <r>
      <t>K</t>
    </r>
    <r>
      <rPr>
        <sz val="11"/>
        <color theme="1"/>
        <rFont val="Calibri"/>
        <family val="2"/>
        <charset val="204"/>
      </rPr>
      <t>η</t>
    </r>
  </si>
  <si>
    <t>параметры</t>
  </si>
  <si>
    <r>
      <t>Q</t>
    </r>
    <r>
      <rPr>
        <sz val="11"/>
        <color theme="1"/>
        <rFont val="Calibri"/>
        <family val="2"/>
        <charset val="204"/>
      </rPr>
      <t>ν</t>
    </r>
    <r>
      <rPr>
        <sz val="11"/>
        <color theme="1"/>
        <rFont val="Calibri"/>
        <family val="2"/>
        <scheme val="minor"/>
      </rPr>
      <t>, м^3/сут</t>
    </r>
  </si>
  <si>
    <t>Нν, м</t>
  </si>
  <si>
    <t>Nν, кВт</t>
  </si>
  <si>
    <r>
      <t>ην</t>
    </r>
    <r>
      <rPr>
        <sz val="7.7"/>
        <color theme="1"/>
        <rFont val="Calibri"/>
        <family val="2"/>
      </rPr>
      <t>, %</t>
    </r>
  </si>
  <si>
    <t>Nпν, кВт</t>
  </si>
  <si>
    <t>26,5*10^-6</t>
  </si>
  <si>
    <t>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</si>
</sst>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7.7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Характеристика насоса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задание1!$C$9:$I$9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19.2</c:v>
                </c:pt>
                <c:pt idx="6">
                  <c:v>33</c:v>
                </c:pt>
              </c:numCache>
            </c:numRef>
          </c:xVal>
          <c:yVal>
            <c:numRef>
              <c:f>задание1!$C$10:$I$10</c:f>
              <c:numCache>
                <c:formatCode>General</c:formatCode>
                <c:ptCount val="7"/>
                <c:pt idx="0">
                  <c:v>705</c:v>
                </c:pt>
                <c:pt idx="1">
                  <c:v>670</c:v>
                </c:pt>
                <c:pt idx="2">
                  <c:v>630</c:v>
                </c:pt>
                <c:pt idx="3">
                  <c:v>575</c:v>
                </c:pt>
                <c:pt idx="4">
                  <c:v>500</c:v>
                </c:pt>
                <c:pt idx="5">
                  <c:v>435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D6-42CD-8DD3-44A94BBE6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873359"/>
        <c:axId val="1105874191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задание1!$C$9:$I$9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19.2</c:v>
                </c:pt>
                <c:pt idx="6">
                  <c:v>33</c:v>
                </c:pt>
              </c:numCache>
            </c:numRef>
          </c:xVal>
          <c:yVal>
            <c:numRef>
              <c:f>задание1!$C$11:$I$11</c:f>
              <c:numCache>
                <c:formatCode>General</c:formatCode>
                <c:ptCount val="7"/>
                <c:pt idx="0">
                  <c:v>3100</c:v>
                </c:pt>
                <c:pt idx="1">
                  <c:v>3000</c:v>
                </c:pt>
                <c:pt idx="2">
                  <c:v>3000</c:v>
                </c:pt>
                <c:pt idx="3">
                  <c:v>3200</c:v>
                </c:pt>
                <c:pt idx="4">
                  <c:v>3400</c:v>
                </c:pt>
                <c:pt idx="5">
                  <c:v>3600</c:v>
                </c:pt>
                <c:pt idx="6">
                  <c:v>3800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D6-42CD-8DD3-44A94BBE6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709039"/>
        <c:axId val="1003518383"/>
      </c:scatterChart>
      <c:valAx>
        <c:axId val="110587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5874191"/>
        <c:crosses val="autoZero"/>
        <c:crossBetween val="midCat"/>
      </c:valAx>
      <c:valAx>
        <c:axId val="110587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5873359"/>
        <c:crosses val="autoZero"/>
        <c:crossBetween val="midCat"/>
      </c:valAx>
      <c:valAx>
        <c:axId val="1003518383"/>
        <c:scaling>
          <c:orientation val="minMax"/>
          <c:max val="16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0709039"/>
        <c:crosses val="max"/>
        <c:crossBetween val="midCat"/>
      </c:valAx>
      <c:valAx>
        <c:axId val="10107090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351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194585018120423E-2"/>
          <c:y val="0.14505716980041075"/>
          <c:w val="0.81910033141688099"/>
          <c:h val="0.74978423459856214"/>
        </c:manualLayout>
      </c:layout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Ref>
              <c:f>задание1!$C$9:$I$9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19.2</c:v>
                </c:pt>
                <c:pt idx="6">
                  <c:v>33</c:v>
                </c:pt>
              </c:numCache>
            </c:numRef>
          </c:xVal>
          <c:yVal>
            <c:numRef>
              <c:f>задание1!$C$12:$I$12</c:f>
              <c:numCache>
                <c:formatCode>General</c:formatCode>
                <c:ptCount val="7"/>
                <c:pt idx="0">
                  <c:v>0</c:v>
                </c:pt>
                <c:pt idx="1">
                  <c:v>7.5</c:v>
                </c:pt>
                <c:pt idx="2">
                  <c:v>18.5</c:v>
                </c:pt>
                <c:pt idx="3">
                  <c:v>25</c:v>
                </c:pt>
                <c:pt idx="4">
                  <c:v>27.5</c:v>
                </c:pt>
                <c:pt idx="5">
                  <c:v>26.5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32-4471-9181-4566BB43A509}"/>
            </c:ext>
          </c:extLst>
        </c:ser>
        <c:ser>
          <c:idx val="0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задание1!$C$9:$I$9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19.2</c:v>
                </c:pt>
                <c:pt idx="6">
                  <c:v>33</c:v>
                </c:pt>
              </c:numCache>
            </c:numRef>
          </c:xVal>
          <c:yVal>
            <c:numRef>
              <c:f>задание1!$C$12:$I$12</c:f>
              <c:numCache>
                <c:formatCode>General</c:formatCode>
                <c:ptCount val="7"/>
                <c:pt idx="0">
                  <c:v>0</c:v>
                </c:pt>
                <c:pt idx="1">
                  <c:v>7.5</c:v>
                </c:pt>
                <c:pt idx="2">
                  <c:v>18.5</c:v>
                </c:pt>
                <c:pt idx="3">
                  <c:v>25</c:v>
                </c:pt>
                <c:pt idx="4">
                  <c:v>27.5</c:v>
                </c:pt>
                <c:pt idx="5">
                  <c:v>26.5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32-4471-9181-4566BB43A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367791"/>
        <c:axId val="1291357391"/>
      </c:scatterChart>
      <c:valAx>
        <c:axId val="12913677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1357391"/>
        <c:crosses val="autoZero"/>
        <c:crossBetween val="midCat"/>
      </c:valAx>
      <c:valAx>
        <c:axId val="1291357391"/>
        <c:scaling>
          <c:orientation val="minMax"/>
          <c:max val="40"/>
        </c:scaling>
        <c:delete val="1"/>
        <c:axPos val="l"/>
        <c:numFmt formatCode="General" sourceLinked="1"/>
        <c:majorTickMark val="none"/>
        <c:minorTickMark val="none"/>
        <c:tickLblPos val="nextTo"/>
        <c:crossAx val="1291367791"/>
        <c:crosses val="autoZero"/>
        <c:crossBetween val="midCat"/>
      </c:valAx>
      <c:spPr>
        <a:noFill/>
      </c:spPr>
    </c:plotArea>
    <c:plotVisOnly val="1"/>
    <c:dispBlanksAs val="gap"/>
    <c:showDLblsOverMax val="0"/>
    <c:extLst/>
  </c:chart>
  <c:spPr>
    <a:noFill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задание1!$C$13:$I$13</c:f>
              <c:numCache>
                <c:formatCode>General</c:formatCode>
                <c:ptCount val="7"/>
                <c:pt idx="0">
                  <c:v>0</c:v>
                </c:pt>
                <c:pt idx="1">
                  <c:v>3.3347079037800689</c:v>
                </c:pt>
                <c:pt idx="2">
                  <c:v>6.6694158075601377</c:v>
                </c:pt>
                <c:pt idx="3">
                  <c:v>10.004123711340206</c:v>
                </c:pt>
                <c:pt idx="4">
                  <c:v>13.338831615120275</c:v>
                </c:pt>
                <c:pt idx="5">
                  <c:v>16.006597938144328</c:v>
                </c:pt>
                <c:pt idx="6">
                  <c:v>27.511340206185569</c:v>
                </c:pt>
              </c:numCache>
            </c:numRef>
          </c:xVal>
          <c:yVal>
            <c:numRef>
              <c:f>задание1!$C$14:$I$14</c:f>
              <c:numCache>
                <c:formatCode>General</c:formatCode>
                <c:ptCount val="7"/>
                <c:pt idx="0">
                  <c:v>489.98719665568433</c:v>
                </c:pt>
                <c:pt idx="1">
                  <c:v>465.66159114795533</c:v>
                </c:pt>
                <c:pt idx="2">
                  <c:v>437.86089913912218</c:v>
                </c:pt>
                <c:pt idx="3">
                  <c:v>399.63494762697661</c:v>
                </c:pt>
                <c:pt idx="4">
                  <c:v>347.50865011041441</c:v>
                </c:pt>
                <c:pt idx="5">
                  <c:v>302.33252559606058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BA-4852-81D3-7EED3A847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996159"/>
        <c:axId val="1298996575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задание1!$C$13:$I$13</c:f>
              <c:numCache>
                <c:formatCode>General</c:formatCode>
                <c:ptCount val="7"/>
                <c:pt idx="0">
                  <c:v>0</c:v>
                </c:pt>
                <c:pt idx="1">
                  <c:v>3.3347079037800689</c:v>
                </c:pt>
                <c:pt idx="2">
                  <c:v>6.6694158075601377</c:v>
                </c:pt>
                <c:pt idx="3">
                  <c:v>10.004123711340206</c:v>
                </c:pt>
                <c:pt idx="4">
                  <c:v>13.338831615120275</c:v>
                </c:pt>
                <c:pt idx="5">
                  <c:v>16.006597938144328</c:v>
                </c:pt>
                <c:pt idx="6">
                  <c:v>27.511340206185569</c:v>
                </c:pt>
              </c:numCache>
            </c:numRef>
          </c:xVal>
          <c:yVal>
            <c:numRef>
              <c:f>задание1!$C$15:$I$15</c:f>
              <c:numCache>
                <c:formatCode>General</c:formatCode>
                <c:ptCount val="7"/>
                <c:pt idx="0">
                  <c:v>1796.2017553404694</c:v>
                </c:pt>
                <c:pt idx="1">
                  <c:v>1738.2597632327124</c:v>
                </c:pt>
                <c:pt idx="2">
                  <c:v>1738.2597632327124</c:v>
                </c:pt>
                <c:pt idx="3">
                  <c:v>1854.1437474482266</c:v>
                </c:pt>
                <c:pt idx="4">
                  <c:v>1970.0277316637407</c:v>
                </c:pt>
                <c:pt idx="5">
                  <c:v>2085.9117158792546</c:v>
                </c:pt>
                <c:pt idx="6">
                  <c:v>2201.795700094769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BA-4852-81D3-7EED3A847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288895"/>
        <c:axId val="1209287231"/>
      </c:scatterChart>
      <c:valAx>
        <c:axId val="1298996159"/>
        <c:scaling>
          <c:orientation val="minMax"/>
          <c:max val="3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98996575"/>
        <c:crosses val="autoZero"/>
        <c:crossBetween val="midCat"/>
      </c:valAx>
      <c:valAx>
        <c:axId val="1298996575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8996159"/>
        <c:crosses val="autoZero"/>
        <c:crossBetween val="midCat"/>
      </c:valAx>
      <c:valAx>
        <c:axId val="1209287231"/>
        <c:scaling>
          <c:orientation val="minMax"/>
          <c:max val="16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B050">
                <a:alpha val="96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9288895"/>
        <c:crosses val="max"/>
        <c:crossBetween val="midCat"/>
      </c:valAx>
      <c:valAx>
        <c:axId val="1209288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928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855776855223061E-2"/>
          <c:y val="0"/>
          <c:w val="0.93903458183701849"/>
          <c:h val="0.8999364664608093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задание1!$C$13:$I$13</c:f>
              <c:numCache>
                <c:formatCode>General</c:formatCode>
                <c:ptCount val="7"/>
                <c:pt idx="0">
                  <c:v>0</c:v>
                </c:pt>
                <c:pt idx="1">
                  <c:v>3.3347079037800689</c:v>
                </c:pt>
                <c:pt idx="2">
                  <c:v>6.6694158075601377</c:v>
                </c:pt>
                <c:pt idx="3">
                  <c:v>10.004123711340206</c:v>
                </c:pt>
                <c:pt idx="4">
                  <c:v>13.338831615120275</c:v>
                </c:pt>
                <c:pt idx="5">
                  <c:v>16.006597938144328</c:v>
                </c:pt>
                <c:pt idx="6">
                  <c:v>27.511340206185569</c:v>
                </c:pt>
              </c:numCache>
            </c:numRef>
          </c:xVal>
          <c:yVal>
            <c:numRef>
              <c:f>задание1!$C$16:$I$16</c:f>
              <c:numCache>
                <c:formatCode>General</c:formatCode>
                <c:ptCount val="7"/>
                <c:pt idx="0">
                  <c:v>0</c:v>
                </c:pt>
                <c:pt idx="1">
                  <c:v>10.143055555555552</c:v>
                </c:pt>
                <c:pt idx="2">
                  <c:v>19.074999999999999</c:v>
                </c:pt>
                <c:pt idx="3">
                  <c:v>24.482421875</c:v>
                </c:pt>
                <c:pt idx="4">
                  <c:v>26.7156862745098</c:v>
                </c:pt>
                <c:pt idx="5">
                  <c:v>26.341666666666669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10-46E1-99DB-A7B174440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743055"/>
        <c:axId val="1104742639"/>
      </c:scatterChart>
      <c:valAx>
        <c:axId val="1104743055"/>
        <c:scaling>
          <c:orientation val="minMax"/>
          <c:max val="35"/>
        </c:scaling>
        <c:delete val="1"/>
        <c:axPos val="b"/>
        <c:numFmt formatCode="General" sourceLinked="1"/>
        <c:majorTickMark val="none"/>
        <c:minorTickMark val="none"/>
        <c:tickLblPos val="nextTo"/>
        <c:crossAx val="1104742639"/>
        <c:crosses val="autoZero"/>
        <c:crossBetween val="midCat"/>
      </c:valAx>
      <c:valAx>
        <c:axId val="1104742639"/>
        <c:scaling>
          <c:orientation val="minMax"/>
          <c:max val="40"/>
        </c:scaling>
        <c:delete val="1"/>
        <c:axPos val="l"/>
        <c:numFmt formatCode="General" sourceLinked="1"/>
        <c:majorTickMark val="none"/>
        <c:minorTickMark val="none"/>
        <c:tickLblPos val="nextTo"/>
        <c:crossAx val="110474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Характеристика насоса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2'!$B$2:$H$2</c:f>
              <c:numCache>
                <c:formatCode>General</c:formatCode>
                <c:ptCount val="7"/>
                <c:pt idx="0">
                  <c:v>0</c:v>
                </c:pt>
                <c:pt idx="1">
                  <c:v>6.4</c:v>
                </c:pt>
                <c:pt idx="2">
                  <c:v>9.6</c:v>
                </c:pt>
                <c:pt idx="3">
                  <c:v>12.8</c:v>
                </c:pt>
                <c:pt idx="4">
                  <c:v>16</c:v>
                </c:pt>
                <c:pt idx="5">
                  <c:v>19.2</c:v>
                </c:pt>
                <c:pt idx="6">
                  <c:v>22.4</c:v>
                </c:pt>
              </c:numCache>
            </c:numRef>
          </c:xVal>
          <c:yVal>
            <c:numRef>
              <c:f>'задание 2'!$B$3:$H$3</c:f>
              <c:numCache>
                <c:formatCode>General</c:formatCode>
                <c:ptCount val="7"/>
                <c:pt idx="0">
                  <c:v>705</c:v>
                </c:pt>
                <c:pt idx="1">
                  <c:v>640</c:v>
                </c:pt>
                <c:pt idx="2">
                  <c:v>610</c:v>
                </c:pt>
                <c:pt idx="3">
                  <c:v>560</c:v>
                </c:pt>
                <c:pt idx="4">
                  <c:v>500</c:v>
                </c:pt>
                <c:pt idx="5">
                  <c:v>440</c:v>
                </c:pt>
                <c:pt idx="6">
                  <c:v>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AA-4E75-9C1C-27B2F882C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997823"/>
        <c:axId val="1298998239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2'!$B$2:$H$2</c:f>
              <c:numCache>
                <c:formatCode>General</c:formatCode>
                <c:ptCount val="7"/>
                <c:pt idx="0">
                  <c:v>0</c:v>
                </c:pt>
                <c:pt idx="1">
                  <c:v>6.4</c:v>
                </c:pt>
                <c:pt idx="2">
                  <c:v>9.6</c:v>
                </c:pt>
                <c:pt idx="3">
                  <c:v>12.8</c:v>
                </c:pt>
                <c:pt idx="4">
                  <c:v>16</c:v>
                </c:pt>
                <c:pt idx="5">
                  <c:v>19.2</c:v>
                </c:pt>
                <c:pt idx="6">
                  <c:v>22.4</c:v>
                </c:pt>
              </c:numCache>
            </c:numRef>
          </c:xVal>
          <c:yVal>
            <c:numRef>
              <c:f>'задание 2'!$B$4:$H$4</c:f>
              <c:numCache>
                <c:formatCode>General</c:formatCode>
                <c:ptCount val="7"/>
                <c:pt idx="0">
                  <c:v>3.1</c:v>
                </c:pt>
                <c:pt idx="1">
                  <c:v>3</c:v>
                </c:pt>
                <c:pt idx="2">
                  <c:v>3.05</c:v>
                </c:pt>
                <c:pt idx="3">
                  <c:v>3.1</c:v>
                </c:pt>
                <c:pt idx="4">
                  <c:v>3.3</c:v>
                </c:pt>
                <c:pt idx="5">
                  <c:v>3.5</c:v>
                </c:pt>
                <c:pt idx="6">
                  <c:v>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AA-4E75-9C1C-27B2F882C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364159"/>
        <c:axId val="1010708623"/>
      </c:scatterChart>
      <c:valAx>
        <c:axId val="129899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8998239"/>
        <c:crosses val="autoZero"/>
        <c:crossBetween val="midCat"/>
      </c:valAx>
      <c:valAx>
        <c:axId val="129899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8997823"/>
        <c:crosses val="autoZero"/>
        <c:crossBetween val="midCat"/>
      </c:valAx>
      <c:valAx>
        <c:axId val="1010708623"/>
        <c:scaling>
          <c:orientation val="minMax"/>
          <c:max val="1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1364159"/>
        <c:crosses val="max"/>
        <c:crossBetween val="midCat"/>
      </c:valAx>
      <c:valAx>
        <c:axId val="121136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0708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24759405074368"/>
          <c:y val="0.12962962962962962"/>
          <c:w val="0.89019685039370078"/>
          <c:h val="0.7629709827938174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2'!$B$2:$H$2</c:f>
              <c:numCache>
                <c:formatCode>General</c:formatCode>
                <c:ptCount val="7"/>
                <c:pt idx="0">
                  <c:v>0</c:v>
                </c:pt>
                <c:pt idx="1">
                  <c:v>6.4</c:v>
                </c:pt>
                <c:pt idx="2">
                  <c:v>9.6</c:v>
                </c:pt>
                <c:pt idx="3">
                  <c:v>12.8</c:v>
                </c:pt>
                <c:pt idx="4">
                  <c:v>16</c:v>
                </c:pt>
                <c:pt idx="5">
                  <c:v>19.2</c:v>
                </c:pt>
                <c:pt idx="6">
                  <c:v>22.4</c:v>
                </c:pt>
              </c:numCache>
            </c:numRef>
          </c:xVal>
          <c:yVal>
            <c:numRef>
              <c:f>'задание 2'!$B$5:$H$5</c:f>
              <c:numCache>
                <c:formatCode>General</c:formatCode>
                <c:ptCount val="7"/>
                <c:pt idx="0">
                  <c:v>0</c:v>
                </c:pt>
                <c:pt idx="1">
                  <c:v>15.5</c:v>
                </c:pt>
                <c:pt idx="2">
                  <c:v>22</c:v>
                </c:pt>
                <c:pt idx="3">
                  <c:v>25.5</c:v>
                </c:pt>
                <c:pt idx="4">
                  <c:v>27.5</c:v>
                </c:pt>
                <c:pt idx="5">
                  <c:v>26</c:v>
                </c:pt>
                <c:pt idx="6">
                  <c:v>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2D-4777-BFFD-E9BAF5EFF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102319"/>
        <c:axId val="1300089007"/>
      </c:scatterChart>
      <c:valAx>
        <c:axId val="13001023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00089007"/>
        <c:crosses val="autoZero"/>
        <c:crossBetween val="midCat"/>
      </c:valAx>
      <c:valAx>
        <c:axId val="1300089007"/>
        <c:scaling>
          <c:orientation val="minMax"/>
          <c:max val="4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0010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2'!$C$10:$H$10</c:f>
              <c:numCache>
                <c:formatCode>General</c:formatCode>
                <c:ptCount val="6"/>
                <c:pt idx="0">
                  <c:v>3.7759999999999998</c:v>
                </c:pt>
                <c:pt idx="1">
                  <c:v>5.6639999999999997</c:v>
                </c:pt>
                <c:pt idx="2">
                  <c:v>7.5519999999999996</c:v>
                </c:pt>
                <c:pt idx="3">
                  <c:v>9.44</c:v>
                </c:pt>
                <c:pt idx="4">
                  <c:v>11.327999999999999</c:v>
                </c:pt>
                <c:pt idx="5">
                  <c:v>13.215999999999999</c:v>
                </c:pt>
              </c:numCache>
            </c:numRef>
          </c:xVal>
          <c:yVal>
            <c:numRef>
              <c:f>'задание 2'!$C$11:$H$11</c:f>
              <c:numCache>
                <c:formatCode>General</c:formatCode>
                <c:ptCount val="6"/>
                <c:pt idx="0">
                  <c:v>556.79999999999995</c:v>
                </c:pt>
                <c:pt idx="1">
                  <c:v>518.5</c:v>
                </c:pt>
                <c:pt idx="2">
                  <c:v>448</c:v>
                </c:pt>
                <c:pt idx="3">
                  <c:v>380</c:v>
                </c:pt>
                <c:pt idx="4">
                  <c:v>308</c:v>
                </c:pt>
                <c:pt idx="5">
                  <c:v>224.25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73-4C97-B051-C534B1E5C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353247"/>
        <c:axId val="1306347007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2'!$C$10:$H$10</c:f>
              <c:numCache>
                <c:formatCode>General</c:formatCode>
                <c:ptCount val="6"/>
                <c:pt idx="0">
                  <c:v>3.7759999999999998</c:v>
                </c:pt>
                <c:pt idx="1">
                  <c:v>5.6639999999999997</c:v>
                </c:pt>
                <c:pt idx="2">
                  <c:v>7.5519999999999996</c:v>
                </c:pt>
                <c:pt idx="3">
                  <c:v>9.44</c:v>
                </c:pt>
                <c:pt idx="4">
                  <c:v>11.327999999999999</c:v>
                </c:pt>
                <c:pt idx="5">
                  <c:v>13.215999999999999</c:v>
                </c:pt>
              </c:numCache>
            </c:numRef>
          </c:xVal>
          <c:yVal>
            <c:numRef>
              <c:f>'задание 2'!$C$13:$H$13</c:f>
              <c:numCache>
                <c:formatCode>General</c:formatCode>
                <c:ptCount val="6"/>
                <c:pt idx="0">
                  <c:v>4.6357635303225804</c:v>
                </c:pt>
                <c:pt idx="1">
                  <c:v>4.5621660159090922</c:v>
                </c:pt>
                <c:pt idx="2">
                  <c:v>4.5344182379084961</c:v>
                </c:pt>
                <c:pt idx="3">
                  <c:v>4.4580471515151503</c:v>
                </c:pt>
                <c:pt idx="4">
                  <c:v>4.5861934461538461</c:v>
                </c:pt>
                <c:pt idx="5">
                  <c:v>4.4037880249999999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73-4C97-B051-C534B1E5C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327903"/>
        <c:axId val="1104335391"/>
      </c:scatterChart>
      <c:valAx>
        <c:axId val="1306353247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6347007"/>
        <c:crosses val="autoZero"/>
        <c:crossBetween val="midCat"/>
      </c:valAx>
      <c:valAx>
        <c:axId val="1306347007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6353247"/>
        <c:crosses val="autoZero"/>
        <c:crossBetween val="midCat"/>
      </c:valAx>
      <c:valAx>
        <c:axId val="1104335391"/>
        <c:scaling>
          <c:orientation val="minMax"/>
          <c:max val="16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4327903"/>
        <c:crosses val="max"/>
        <c:crossBetween val="midCat"/>
      </c:valAx>
      <c:valAx>
        <c:axId val="1104327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43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337907774040374E-2"/>
          <c:y val="0"/>
          <c:w val="0.93302890327758081"/>
          <c:h val="0.9084763540438612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2'!$C$10:$H$10</c:f>
              <c:numCache>
                <c:formatCode>General</c:formatCode>
                <c:ptCount val="6"/>
                <c:pt idx="0">
                  <c:v>3.7759999999999998</c:v>
                </c:pt>
                <c:pt idx="1">
                  <c:v>5.6639999999999997</c:v>
                </c:pt>
                <c:pt idx="2">
                  <c:v>7.5519999999999996</c:v>
                </c:pt>
                <c:pt idx="3">
                  <c:v>9.44</c:v>
                </c:pt>
                <c:pt idx="4">
                  <c:v>11.327999999999999</c:v>
                </c:pt>
                <c:pt idx="5">
                  <c:v>13.215999999999999</c:v>
                </c:pt>
              </c:numCache>
            </c:numRef>
          </c:xVal>
          <c:yVal>
            <c:numRef>
              <c:f>'задание 2'!$C$14:$H$14</c:f>
              <c:numCache>
                <c:formatCode>General</c:formatCode>
                <c:ptCount val="6"/>
                <c:pt idx="0">
                  <c:v>3.875</c:v>
                </c:pt>
                <c:pt idx="1">
                  <c:v>5.5</c:v>
                </c:pt>
                <c:pt idx="2">
                  <c:v>6.375</c:v>
                </c:pt>
                <c:pt idx="3">
                  <c:v>6.875</c:v>
                </c:pt>
                <c:pt idx="4">
                  <c:v>6.5</c:v>
                </c:pt>
                <c:pt idx="5">
                  <c:v>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CC-467A-B00A-A4A9E7645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326127"/>
        <c:axId val="1003325295"/>
      </c:scatterChart>
      <c:valAx>
        <c:axId val="1003326127"/>
        <c:scaling>
          <c:orientation val="minMax"/>
          <c:max val="25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1003325295"/>
        <c:crosses val="autoZero"/>
        <c:crossBetween val="midCat"/>
      </c:valAx>
      <c:valAx>
        <c:axId val="1003325295"/>
        <c:scaling>
          <c:orientation val="minMax"/>
          <c:max val="40"/>
        </c:scaling>
        <c:delete val="1"/>
        <c:axPos val="l"/>
        <c:numFmt formatCode="General" sourceLinked="1"/>
        <c:majorTickMark val="out"/>
        <c:minorTickMark val="none"/>
        <c:tickLblPos val="nextTo"/>
        <c:crossAx val="100332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855544</xdr:colOff>
      <xdr:row>19</xdr:row>
      <xdr:rowOff>20059</xdr:rowOff>
    </xdr:from>
    <xdr:to>
      <xdr:col>11</xdr:col>
      <xdr:colOff>14944</xdr:colOff>
      <xdr:row>34</xdr:row>
      <xdr:rowOff>29998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F0830122-D329-4020-9FEC-27EF25C063D4}"/>
            </a:ext>
          </a:extLst>
        </xdr:cNvPr>
        <xdr:cNvGrpSpPr/>
      </xdr:nvGrpSpPr>
      <xdr:grpSpPr>
        <a:xfrm>
          <a:off x="3264696" y="3529877"/>
          <a:ext cx="4593460" cy="2780848"/>
          <a:chOff x="1014642" y="3135048"/>
          <a:chExt cx="4602258" cy="2773236"/>
        </a:xfrm>
      </xdr:grpSpPr>
      <xdr:graphicFrame macro="">
        <xdr:nvGraphicFramePr>
          <xdr:cNvPr id="3" name="Диаграмма 2">
            <a:extLst>
              <a:ext uri="{FF2B5EF4-FFF2-40B4-BE49-F238E27FC236}">
                <a16:creationId xmlns:a16="http://schemas.microsoft.com/office/drawing/2014/main" id="{7F4C29CB-E38A-4EDE-A66B-1DDE06F8DBBB}"/>
              </a:ext>
            </a:extLst>
          </xdr:cNvPr>
          <xdr:cNvGraphicFramePr/>
        </xdr:nvGraphicFramePr>
        <xdr:xfrm>
          <a:off x="1017286" y="3135048"/>
          <a:ext cx="4556254" cy="277323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6" name="Диаграмма 5">
            <a:extLst>
              <a:ext uri="{FF2B5EF4-FFF2-40B4-BE49-F238E27FC236}">
                <a16:creationId xmlns:a16="http://schemas.microsoft.com/office/drawing/2014/main" id="{4EC6D26A-8F40-4424-B889-030F1895D384}"/>
              </a:ext>
            </a:extLst>
          </xdr:cNvPr>
          <xdr:cNvGraphicFramePr/>
        </xdr:nvGraphicFramePr>
        <xdr:xfrm>
          <a:off x="1061497" y="3150111"/>
          <a:ext cx="4555403" cy="27465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7" name="Диаграмма 6">
            <a:extLst>
              <a:ext uri="{FF2B5EF4-FFF2-40B4-BE49-F238E27FC236}">
                <a16:creationId xmlns:a16="http://schemas.microsoft.com/office/drawing/2014/main" id="{32ADD7A3-6567-4200-8650-EE87284A2295}"/>
              </a:ext>
            </a:extLst>
          </xdr:cNvPr>
          <xdr:cNvGraphicFramePr/>
        </xdr:nvGraphicFramePr>
        <xdr:xfrm>
          <a:off x="1014642" y="3465687"/>
          <a:ext cx="4555606" cy="227831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8" name="Диаграмма 7">
            <a:extLst>
              <a:ext uri="{FF2B5EF4-FFF2-40B4-BE49-F238E27FC236}">
                <a16:creationId xmlns:a16="http://schemas.microsoft.com/office/drawing/2014/main" id="{086E464C-164B-45E7-8A64-079687743499}"/>
              </a:ext>
            </a:extLst>
          </xdr:cNvPr>
          <xdr:cNvGraphicFramePr/>
        </xdr:nvGraphicFramePr>
        <xdr:xfrm>
          <a:off x="1306680" y="3447120"/>
          <a:ext cx="3991079" cy="23948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83071</xdr:colOff>
      <xdr:row>6</xdr:row>
      <xdr:rowOff>70628</xdr:rowOff>
    </xdr:from>
    <xdr:to>
      <xdr:col>17</xdr:col>
      <xdr:colOff>522341</xdr:colOff>
      <xdr:row>21</xdr:row>
      <xdr:rowOff>130281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66A5A7AE-D81F-4873-B170-7FBAEF840032}"/>
            </a:ext>
          </a:extLst>
        </xdr:cNvPr>
        <xdr:cNvGrpSpPr/>
      </xdr:nvGrpSpPr>
      <xdr:grpSpPr>
        <a:xfrm>
          <a:off x="6560071" y="1156478"/>
          <a:ext cx="4706470" cy="2774278"/>
          <a:chOff x="5929818" y="1281282"/>
          <a:chExt cx="4726410" cy="2837036"/>
        </a:xfrm>
      </xdr:grpSpPr>
      <xdr:graphicFrame macro="">
        <xdr:nvGraphicFramePr>
          <xdr:cNvPr id="4" name="Диаграмма 3">
            <a:extLst>
              <a:ext uri="{FF2B5EF4-FFF2-40B4-BE49-F238E27FC236}">
                <a16:creationId xmlns:a16="http://schemas.microsoft.com/office/drawing/2014/main" id="{046E86A4-F09A-41DE-95B3-9601F1E5050D}"/>
              </a:ext>
            </a:extLst>
          </xdr:cNvPr>
          <xdr:cNvGraphicFramePr/>
        </xdr:nvGraphicFramePr>
        <xdr:xfrm>
          <a:off x="6064288" y="1281282"/>
          <a:ext cx="4591940" cy="283703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Диаграмма 4">
            <a:extLst>
              <a:ext uri="{FF2B5EF4-FFF2-40B4-BE49-F238E27FC236}">
                <a16:creationId xmlns:a16="http://schemas.microsoft.com/office/drawing/2014/main" id="{0204CAA6-A867-4851-A8AE-21CC32F4661B}"/>
              </a:ext>
            </a:extLst>
          </xdr:cNvPr>
          <xdr:cNvGraphicFramePr/>
        </xdr:nvGraphicFramePr>
        <xdr:xfrm>
          <a:off x="5929818" y="1421618"/>
          <a:ext cx="4444570" cy="26877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10</xdr:col>
      <xdr:colOff>207010</xdr:colOff>
      <xdr:row>8</xdr:row>
      <xdr:rowOff>47626</xdr:rowOff>
    </xdr:from>
    <xdr:to>
      <xdr:col>17</xdr:col>
      <xdr:colOff>513715</xdr:colOff>
      <xdr:row>21</xdr:row>
      <xdr:rowOff>130811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CFD8D3D-A533-4BE7-BDCC-8E1EBD8AE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381001</xdr:colOff>
      <xdr:row>5</xdr:row>
      <xdr:rowOff>114300</xdr:rowOff>
    </xdr:from>
    <xdr:to>
      <xdr:col>17</xdr:col>
      <xdr:colOff>285750</xdr:colOff>
      <xdr:row>22</xdr:row>
      <xdr:rowOff>90488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30FA26BE-6965-409B-B868-4A5F518C1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="99" zoomScaleNormal="99" workbookViewId="0">
      <selection activeCell="N17" sqref="N17"/>
    </sheetView>
  </sheetViews>
  <sheetFormatPr defaultRowHeight="14.4" x14ac:dyDescent="0.3"/>
  <cols>
    <col min="1" max="1" width="14.88671875" bestFit="1" customWidth="1"/>
    <col min="2" max="2" width="11.33203125" bestFit="1" customWidth="1"/>
    <col min="4" max="5" width="13" bestFit="1" customWidth="1"/>
  </cols>
  <sheetData>
    <row r="1" spans="1:9" x14ac:dyDescent="0.3">
      <c r="A1" s="3"/>
      <c r="B1" s="1"/>
    </row>
    <row r="2" spans="1:9" x14ac:dyDescent="0.3">
      <c r="A2" s="3"/>
      <c r="B2" s="1"/>
    </row>
    <row r="3" spans="1:9" x14ac:dyDescent="0.3">
      <c r="A3" s="3"/>
      <c r="B3" s="1"/>
    </row>
    <row r="4" spans="1:9" x14ac:dyDescent="0.3">
      <c r="A4" s="3"/>
      <c r="B4" s="2"/>
    </row>
    <row r="5" spans="1:9" x14ac:dyDescent="0.3">
      <c r="A5" s="3"/>
      <c r="B5" s="1"/>
    </row>
    <row r="6" spans="1:9" x14ac:dyDescent="0.3">
      <c r="A6" s="3"/>
      <c r="B6" s="1"/>
    </row>
    <row r="7" spans="1:9" x14ac:dyDescent="0.3">
      <c r="A7" s="3"/>
      <c r="B7" s="1"/>
    </row>
    <row r="8" spans="1:9" x14ac:dyDescent="0.3">
      <c r="A8" s="3"/>
      <c r="B8" s="2"/>
    </row>
    <row r="9" spans="1:9" x14ac:dyDescent="0.3">
      <c r="A9" s="5">
        <v>2910</v>
      </c>
      <c r="B9" s="6" t="s">
        <v>6</v>
      </c>
      <c r="C9" s="8">
        <v>0</v>
      </c>
      <c r="D9" s="8">
        <f>G9*0.25</f>
      </c>
      <c r="E9" s="8">
        <f>G9*0.5</f>
      </c>
      <c r="F9" s="8">
        <f>0.75*G9</f>
      </c>
      <c r="G9" s="8">
        <v>16</v>
      </c>
      <c r="H9" s="8">
        <f>1.2*G9</f>
      </c>
      <c r="I9" s="8">
        <v>33</v>
      </c>
    </row>
    <row r="10" spans="1:9" x14ac:dyDescent="0.3">
      <c r="A10" s="5"/>
      <c r="B10" s="6" t="s">
        <v>0</v>
      </c>
      <c r="C10" s="8">
        <v>705</v>
      </c>
      <c r="D10" s="8">
        <v>670</v>
      </c>
      <c r="E10" s="8">
        <v>630</v>
      </c>
      <c r="F10" s="8">
        <v>575</v>
      </c>
      <c r="G10" s="8">
        <v>500</v>
      </c>
      <c r="H10" s="8">
        <v>435</v>
      </c>
      <c r="I10" s="8">
        <v>0</v>
      </c>
    </row>
    <row r="11" spans="1:9" x14ac:dyDescent="0.3">
      <c r="A11" s="5"/>
      <c r="B11" s="6" t="s">
        <v>1</v>
      </c>
      <c r="C11" s="8">
        <v>3100</v>
      </c>
      <c r="D11" s="8">
        <v>3000</v>
      </c>
      <c r="E11" s="8">
        <v>3000</v>
      </c>
      <c r="F11" s="8">
        <v>3200</v>
      </c>
      <c r="G11" s="8">
        <v>3400</v>
      </c>
      <c r="H11" s="8">
        <v>3600</v>
      </c>
      <c r="I11" s="8">
        <v>4700</v>
      </c>
    </row>
    <row r="12" spans="1:9" x14ac:dyDescent="0.3">
      <c r="A12" s="5"/>
      <c r="B12" s="7" t="s">
        <v>2</v>
      </c>
      <c r="C12" s="8">
        <v>0</v>
      </c>
      <c r="D12" s="8">
        <v>10</v>
      </c>
      <c r="E12" s="8">
        <v>18.5</v>
      </c>
      <c r="F12" s="8">
        <v>25</v>
      </c>
      <c r="G12" s="8">
        <v>27.5</v>
      </c>
      <c r="H12" s="8">
        <v>26.5</v>
      </c>
      <c r="I12" s="8">
        <v>0</v>
      </c>
    </row>
    <row r="13" spans="1:9" x14ac:dyDescent="0.3">
      <c r="A13" s="9">
        <f>A9-(22*2*11)</f>
      </c>
      <c r="B13" s="6" t="s">
        <v>8</v>
      </c>
      <c r="C13" s="8">
        <f>C9*$A$13/$A$9</f>
      </c>
      <c r="D13" s="8">
        <f t="shared" ref="D13:I13" si="0">D9*$A$13/$A$9</f>
        <v>3.3347079037800689</v>
      </c>
      <c r="E13" s="8">
        <f t="shared" si="0"/>
        <v>6.6694158075601377</v>
      </c>
      <c r="F13" s="8">
        <f t="shared" si="0"/>
        <v>10.004123711340206</v>
      </c>
      <c r="G13" s="8">
        <f t="shared" si="0"/>
        <v>13.338831615120275</v>
      </c>
      <c r="H13" s="8">
        <f t="shared" si="0"/>
        <v>16.006597938144328</v>
      </c>
      <c r="I13" s="8">
        <f t="shared" si="0"/>
        <v>27.511340206185569</v>
      </c>
    </row>
    <row r="14" spans="1:9" x14ac:dyDescent="0.3">
      <c r="A14" s="10"/>
      <c r="B14" s="6" t="s">
        <v>3</v>
      </c>
      <c r="C14" s="8">
        <f>C10*($A$13/$A$9)^2</f>
      </c>
      <c r="D14" s="8">
        <f t="shared" ref="D14:I14" si="1">D10*($A$13/$A$9)^2</f>
        <v>465.66159114795533</v>
      </c>
      <c r="E14" s="8">
        <f t="shared" si="1"/>
        <v>437.86089913912218</v>
      </c>
      <c r="F14" s="8">
        <f t="shared" si="1"/>
        <v>399.63494762697661</v>
      </c>
      <c r="G14" s="8">
        <f t="shared" si="1"/>
        <v>347.50865011041441</v>
      </c>
      <c r="H14" s="8">
        <f t="shared" si="1"/>
        <v>302.33252559606058</v>
      </c>
      <c r="I14" s="8">
        <f t="shared" si="1"/>
        <v>0</v>
      </c>
    </row>
    <row r="15" spans="1:9" x14ac:dyDescent="0.3">
      <c r="A15" s="10"/>
      <c r="B15" s="6" t="s">
        <v>4</v>
      </c>
      <c r="C15" s="8">
        <f>C11*($A$13/$A$9)^3</f>
      </c>
      <c r="D15" s="8">
        <f t="shared" ref="D15:H15" si="2">D11*($A$13/$A$9)^3</f>
        <v>1738.2597632327124</v>
      </c>
      <c r="E15" s="8">
        <f t="shared" si="2"/>
        <v>1738.2597632327124</v>
      </c>
      <c r="F15" s="8">
        <f t="shared" si="2"/>
        <v>1854.1437474482266</v>
      </c>
      <c r="G15" s="8">
        <f t="shared" si="2"/>
        <v>1970.0277316637407</v>
      </c>
      <c r="H15" s="8">
        <f t="shared" si="2"/>
        <v>2085.9117158792546</v>
      </c>
      <c r="I15" s="8">
        <f>I11*($A$13/$A$9)^3</f>
      </c>
    </row>
    <row r="16" spans="1:9" x14ac:dyDescent="0.3">
      <c r="A16" s="10"/>
      <c r="B16" s="7" t="s">
        <v>5</v>
      </c>
      <c r="C16" s="8">
        <f>100*C17/C15</f>
      </c>
      <c r="D16" s="8">
        <f>100*D17/D15</f>
      </c>
      <c r="E16" s="8">
        <f t="shared" ref="E16:I16" si="3">100*E17/E15</f>
        <v>19.074999999999999</v>
      </c>
      <c r="F16" s="8">
        <f t="shared" si="3"/>
        <v>24.482421875</v>
      </c>
      <c r="G16" s="8">
        <f t="shared" si="3"/>
        <v>26.7156862745098</v>
      </c>
      <c r="H16" s="8">
        <f t="shared" si="3"/>
        <v>26.341666666666669</v>
      </c>
      <c r="I16" s="8">
        <f t="shared" si="3"/>
        <v>0</v>
      </c>
    </row>
    <row r="17" spans="1:9" x14ac:dyDescent="0.3">
      <c r="A17" s="11"/>
      <c r="B17" s="6" t="s">
        <v>7</v>
      </c>
      <c r="C17" s="8">
        <f>1000*9.81*C14*C13/86400</f>
      </c>
      <c r="D17" s="8">
        <f t="shared" ref="D17:I17" si="4">1000*9.81*D14*D13/86400</f>
        <v>176.31265348456245</v>
      </c>
      <c r="E17" s="8">
        <f t="shared" si="4"/>
        <v>331.57304983663988</v>
      </c>
      <c r="F17" s="8">
        <f t="shared" si="4"/>
        <v>453.93929441920938</v>
      </c>
      <c r="G17" s="8">
        <f t="shared" si="4"/>
        <v>526.30642831212674</v>
      </c>
      <c r="H17" s="8">
        <f t="shared" si="4"/>
        <v>549.46391115786037</v>
      </c>
      <c r="I17" s="8">
        <f t="shared" si="4"/>
        <v>0</v>
      </c>
    </row>
  </sheetData>
  <mergeCells count="2">
    <mergeCell ref="A9:A12"/>
    <mergeCell ref="A13:A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E26E-BE6B-4D93-9598-8D90D20A64F8}">
  <dimension ref="A2:I15"/>
  <sheetViews>
    <sheetView zoomScale="80" zoomScaleNormal="80" workbookViewId="0">
      <selection activeCell="C25" sqref="C25"/>
    </sheetView>
  </sheetViews>
  <sheetFormatPr defaultRowHeight="14.4" x14ac:dyDescent="0.3"/>
  <cols>
    <col min="1" max="1" width="10.44140625" bestFit="1" customWidth="1"/>
    <col min="2" max="2" width="10.77734375" bestFit="1" customWidth="1"/>
    <col min="3" max="3" width="11" bestFit="1" customWidth="1"/>
  </cols>
  <sheetData>
    <row r="2" spans="1:9" x14ac:dyDescent="0.3">
      <c r="A2" s="6" t="s">
        <v>9</v>
      </c>
      <c r="B2" s="6">
        <v>0</v>
      </c>
      <c r="C2" s="6">
        <f>0.4*F2</f>
      </c>
      <c r="D2" s="6">
        <f>0.6*F2</f>
      </c>
      <c r="E2" s="6">
        <f>0.8*F2</f>
      </c>
      <c r="F2" s="6">
        <v>16</v>
      </c>
      <c r="G2" s="6">
        <f>1.2*F2</f>
      </c>
      <c r="H2" s="6">
        <f>1.4*F2</f>
      </c>
    </row>
    <row r="3" spans="1:9" x14ac:dyDescent="0.3">
      <c r="A3" s="6" t="s">
        <v>10</v>
      </c>
      <c r="B3" s="6">
        <v>705</v>
      </c>
      <c r="C3" s="6">
        <v>640</v>
      </c>
      <c r="D3" s="6">
        <v>610</v>
      </c>
      <c r="E3" s="6">
        <v>560</v>
      </c>
      <c r="F3" s="6">
        <v>500</v>
      </c>
      <c r="G3" s="6">
        <v>440</v>
      </c>
      <c r="H3" s="6">
        <v>345</v>
      </c>
    </row>
    <row r="4" spans="1:9" x14ac:dyDescent="0.3">
      <c r="A4" s="6" t="s">
        <v>11</v>
      </c>
      <c r="B4" s="6">
        <v>3.1</v>
      </c>
      <c r="C4" s="6">
        <v>3</v>
      </c>
      <c r="D4" s="6">
        <v>3.05</v>
      </c>
      <c r="E4" s="6">
        <v>3.1</v>
      </c>
      <c r="F4" s="6">
        <v>3.3</v>
      </c>
      <c r="G4" s="6">
        <v>3.5</v>
      </c>
      <c r="H4" s="6">
        <v>3.9</v>
      </c>
    </row>
    <row r="5" spans="1:9" x14ac:dyDescent="0.3">
      <c r="A5" s="7" t="s">
        <v>12</v>
      </c>
      <c r="B5" s="6">
        <v>0</v>
      </c>
      <c r="C5" s="6">
        <v>15.5</v>
      </c>
      <c r="D5" s="6">
        <v>22</v>
      </c>
      <c r="E5" s="6">
        <v>25.5</v>
      </c>
      <c r="F5" s="6">
        <v>27.5</v>
      </c>
      <c r="G5" s="6">
        <v>26</v>
      </c>
      <c r="H5" s="6">
        <v>23</v>
      </c>
    </row>
    <row r="6" spans="1:9" x14ac:dyDescent="0.3">
      <c r="A6" s="5" t="s">
        <v>17</v>
      </c>
      <c r="B6" s="6" t="s">
        <v>13</v>
      </c>
      <c r="C6" s="5">
        <f>(((F2^2*2910)/(86400^2))^(1/3))/(26.5*10^(-6))</f>
      </c>
      <c r="D6" s="5"/>
      <c r="E6" s="5"/>
      <c r="F6" s="5"/>
      <c r="G6" s="5"/>
      <c r="H6" s="5"/>
      <c r="I6" s="4"/>
    </row>
    <row r="7" spans="1:9" x14ac:dyDescent="0.3">
      <c r="A7" s="5"/>
      <c r="B7" s="6" t="s">
        <v>14</v>
      </c>
      <c r="C7" s="5">
        <v>0.69</v>
      </c>
      <c r="D7" s="5"/>
      <c r="E7" s="5"/>
      <c r="F7" s="5"/>
      <c r="G7" s="5"/>
      <c r="H7" s="5"/>
    </row>
    <row r="8" spans="1:9" x14ac:dyDescent="0.3">
      <c r="A8" s="5"/>
      <c r="B8" s="6" t="s">
        <v>15</v>
      </c>
      <c r="C8" s="6">
        <v>0.9</v>
      </c>
      <c r="D8" s="6">
        <v>0.885</v>
      </c>
      <c r="E8" s="6">
        <v>0.86</v>
      </c>
      <c r="F8" s="6">
        <v>0.825</v>
      </c>
      <c r="G8" s="6">
        <v>0.78</v>
      </c>
      <c r="H8" s="6">
        <v>0.73</v>
      </c>
    </row>
    <row r="9" spans="1:9" x14ac:dyDescent="0.3">
      <c r="A9" s="5"/>
      <c r="B9" s="6" t="s">
        <v>16</v>
      </c>
      <c r="C9" s="5">
        <v>0.35</v>
      </c>
      <c r="D9" s="5"/>
      <c r="E9" s="5"/>
      <c r="F9" s="5"/>
      <c r="G9" s="5"/>
      <c r="H9" s="5"/>
      <c r="I9" s="4"/>
    </row>
    <row r="10" spans="1:9" x14ac:dyDescent="0.3">
      <c r="A10" s="5" t="s">
        <v>23</v>
      </c>
      <c r="B10" s="6" t="s">
        <v>18</v>
      </c>
      <c r="C10" s="6">
        <f>C2*$C$7</f>
      </c>
      <c r="D10" s="6">
        <f t="shared" ref="D10:H10" si="0">D2*$C$7</f>
        <v>5.6639999999999997</v>
      </c>
      <c r="E10" s="6">
        <f t="shared" si="0"/>
        <v>7.5519999999999996</v>
      </c>
      <c r="F10" s="6">
        <f t="shared" si="0"/>
        <v>9.44</v>
      </c>
      <c r="G10" s="6">
        <f t="shared" si="0"/>
        <v>11.327999999999999</v>
      </c>
      <c r="H10" s="6">
        <f t="shared" si="0"/>
        <v>13.215999999999999</v>
      </c>
    </row>
    <row r="11" spans="1:9" x14ac:dyDescent="0.3">
      <c r="A11" s="5"/>
      <c r="B11" s="6" t="s">
        <v>19</v>
      </c>
      <c r="C11" s="6">
        <f>C3*C8</f>
      </c>
      <c r="D11" s="6">
        <f t="shared" ref="D11:H11" si="1">D3*D8</f>
        <v>518.5</v>
      </c>
      <c r="E11" s="6">
        <f t="shared" si="1"/>
        <v>448</v>
      </c>
      <c r="F11" s="6">
        <f t="shared" si="1"/>
        <v>380</v>
      </c>
      <c r="G11" s="6">
        <f t="shared" si="1"/>
        <v>308</v>
      </c>
      <c r="H11" s="6">
        <f t="shared" si="1"/>
        <v>224.25</v>
      </c>
    </row>
    <row r="12" spans="1:9" x14ac:dyDescent="0.3">
      <c r="A12" s="5"/>
      <c r="B12" s="6" t="s">
        <v>22</v>
      </c>
      <c r="C12" s="6">
        <f>($A$15*9.81*C11*(C10/86400))/1000</f>
      </c>
      <c r="D12" s="6">
        <f t="shared" ref="D12:H12" si="2">($A$15*9.81*D11*(D10/86400))/1000</f>
        <v>0.25091913087500006</v>
      </c>
      <c r="E12" s="6">
        <f t="shared" si="2"/>
        <v>0.28906916266666666</v>
      </c>
      <c r="F12" s="6">
        <f t="shared" si="2"/>
        <v>0.30649074166666662</v>
      </c>
      <c r="G12" s="6">
        <f t="shared" si="2"/>
        <v>0.29810257400000001</v>
      </c>
      <c r="H12" s="6">
        <f t="shared" si="2"/>
        <v>0.2532178114375</v>
      </c>
    </row>
    <row r="13" spans="1:9" x14ac:dyDescent="0.3">
      <c r="A13" s="5"/>
      <c r="B13" s="6" t="s">
        <v>20</v>
      </c>
      <c r="C13" s="12">
        <f>C12/(C14/100)</f>
      </c>
      <c r="D13" s="12">
        <f t="shared" ref="D13:H13" si="3">D12/(D14/100)</f>
        <v>4.5621660159090922</v>
      </c>
      <c r="E13" s="12">
        <f t="shared" si="3"/>
        <v>4.5344182379084961</v>
      </c>
      <c r="F13" s="12">
        <f t="shared" si="3"/>
        <v>4.4580471515151503</v>
      </c>
      <c r="G13" s="12">
        <f t="shared" si="3"/>
        <v>4.5861934461538461</v>
      </c>
      <c r="H13" s="12">
        <f t="shared" si="3"/>
        <v>4.4037880249999999</v>
      </c>
    </row>
    <row r="14" spans="1:9" x14ac:dyDescent="0.3">
      <c r="A14" s="5"/>
      <c r="B14" s="7" t="s">
        <v>21</v>
      </c>
      <c r="C14" s="6">
        <f>C5*$C$9</f>
      </c>
      <c r="D14" s="6">
        <f t="shared" ref="D14:H14" si="4">D5*$C$9</f>
        <v>5.5</v>
      </c>
      <c r="E14" s="6">
        <f t="shared" si="4"/>
        <v>6.375</v>
      </c>
      <c r="F14" s="6">
        <f t="shared" si="4"/>
        <v>6.875</v>
      </c>
      <c r="G14" s="6">
        <f t="shared" si="4"/>
        <v>6.5</v>
      </c>
      <c r="H14" s="6">
        <f t="shared" si="4"/>
        <v>5.75</v>
      </c>
    </row>
    <row r="15" spans="1:9" x14ac:dyDescent="0.3">
      <c r="A15" s="6">
        <f>1000-247.5</f>
      </c>
      <c r="B15" s="7" t="s">
        <v>24</v>
      </c>
      <c r="C15" s="1"/>
      <c r="D15" s="1"/>
      <c r="E15" s="1"/>
      <c r="F15" s="1"/>
      <c r="G15" s="1"/>
      <c r="H15" s="1"/>
    </row>
  </sheetData>
  <mergeCells count="5">
    <mergeCell ref="A6:A9"/>
    <mergeCell ref="A10:A14"/>
    <mergeCell ref="C7:H7"/>
    <mergeCell ref="C6:H6"/>
    <mergeCell ref="C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Кузина</dc:creator>
  <cp:lastModifiedBy>Полина Кузина</cp:lastModifiedBy>
  <dcterms:created xsi:type="dcterms:W3CDTF">2015-06-05T18:19:34Z</dcterms:created>
  <dcterms:modified xsi:type="dcterms:W3CDTF">2026-09-22T12:00:21Z</dcterms:modified>
</cp:coreProperties>
</file>